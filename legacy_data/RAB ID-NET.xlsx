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-NET\"/>
    </mc:Choice>
  </mc:AlternateContent>
  <xr:revisionPtr revIDLastSave="0" documentId="13_ncr:1_{79C5B079-93DA-4F86-A6A9-E0FB09F94510}" xr6:coauthVersionLast="47" xr6:coauthVersionMax="47" xr10:uidLastSave="{00000000-0000-0000-0000-000000000000}"/>
  <bookViews>
    <workbookView xWindow="-120" yWindow="-120" windowWidth="20730" windowHeight="11160" activeTab="1" xr2:uid="{E536436C-3865-45E4-BDD0-43BEA1A90314}"/>
  </bookViews>
  <sheets>
    <sheet name="RAB" sheetId="1" r:id="rId1"/>
    <sheet name="REKAP " sheetId="5" r:id="rId2"/>
    <sheet name="MANDOR" sheetId="4" r:id="rId3"/>
  </sheets>
  <definedNames>
    <definedName name="_xlnm._FilterDatabase" localSheetId="2" hidden="1">MANDOR!$B$4:$M$92</definedName>
    <definedName name="_xlnm._FilterDatabase" localSheetId="0" hidden="1">RAB!$A$7:$M$115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E9" i="5"/>
  <c r="D9" i="5"/>
  <c r="E8" i="5"/>
  <c r="E7" i="5"/>
  <c r="E6" i="5"/>
  <c r="E5" i="5"/>
  <c r="M92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5" i="4"/>
  <c r="I92" i="4"/>
  <c r="J92" i="4"/>
  <c r="K92" i="4"/>
  <c r="L92" i="4"/>
  <c r="I19" i="4"/>
  <c r="J19" i="4"/>
  <c r="K19" i="4"/>
  <c r="L19" i="4"/>
  <c r="I20" i="4"/>
  <c r="J20" i="4"/>
  <c r="K20" i="4"/>
  <c r="L20" i="4"/>
  <c r="I21" i="4"/>
  <c r="J21" i="4"/>
  <c r="K21" i="4"/>
  <c r="L21" i="4"/>
  <c r="I22" i="4"/>
  <c r="J22" i="4"/>
  <c r="K22" i="4"/>
  <c r="L22" i="4"/>
  <c r="I23" i="4"/>
  <c r="J23" i="4"/>
  <c r="K23" i="4"/>
  <c r="L23" i="4"/>
  <c r="I24" i="4"/>
  <c r="J24" i="4"/>
  <c r="K24" i="4"/>
  <c r="L24" i="4"/>
  <c r="I25" i="4"/>
  <c r="J25" i="4"/>
  <c r="K25" i="4"/>
  <c r="L25" i="4"/>
  <c r="I26" i="4"/>
  <c r="J26" i="4"/>
  <c r="K26" i="4"/>
  <c r="L26" i="4"/>
  <c r="I27" i="4"/>
  <c r="J27" i="4"/>
  <c r="K27" i="4"/>
  <c r="L27" i="4"/>
  <c r="I28" i="4"/>
  <c r="J28" i="4"/>
  <c r="K28" i="4"/>
  <c r="L28" i="4"/>
  <c r="I29" i="4"/>
  <c r="J29" i="4"/>
  <c r="K29" i="4"/>
  <c r="L29" i="4"/>
  <c r="I30" i="4"/>
  <c r="J30" i="4"/>
  <c r="K30" i="4"/>
  <c r="L30" i="4"/>
  <c r="I31" i="4"/>
  <c r="J31" i="4"/>
  <c r="K31" i="4"/>
  <c r="L31" i="4"/>
  <c r="I32" i="4"/>
  <c r="J32" i="4"/>
  <c r="K32" i="4"/>
  <c r="L32" i="4"/>
  <c r="I33" i="4"/>
  <c r="J33" i="4"/>
  <c r="K33" i="4"/>
  <c r="L33" i="4"/>
  <c r="I34" i="4"/>
  <c r="J34" i="4"/>
  <c r="K34" i="4"/>
  <c r="L34" i="4"/>
  <c r="I35" i="4"/>
  <c r="J35" i="4"/>
  <c r="K35" i="4"/>
  <c r="L35" i="4"/>
  <c r="I36" i="4"/>
  <c r="J36" i="4"/>
  <c r="K36" i="4"/>
  <c r="L36" i="4"/>
  <c r="I37" i="4"/>
  <c r="J37" i="4"/>
  <c r="K37" i="4"/>
  <c r="L37" i="4"/>
  <c r="I38" i="4"/>
  <c r="J38" i="4"/>
  <c r="K38" i="4"/>
  <c r="L38" i="4"/>
  <c r="I39" i="4"/>
  <c r="J39" i="4"/>
  <c r="K39" i="4"/>
  <c r="L39" i="4"/>
  <c r="I40" i="4"/>
  <c r="J40" i="4"/>
  <c r="K40" i="4"/>
  <c r="L40" i="4"/>
  <c r="I41" i="4"/>
  <c r="J41" i="4"/>
  <c r="K41" i="4"/>
  <c r="L41" i="4"/>
  <c r="I42" i="4"/>
  <c r="J42" i="4"/>
  <c r="K42" i="4"/>
  <c r="L42" i="4"/>
  <c r="I43" i="4"/>
  <c r="J43" i="4"/>
  <c r="K43" i="4"/>
  <c r="L43" i="4"/>
  <c r="I44" i="4"/>
  <c r="J44" i="4"/>
  <c r="K44" i="4"/>
  <c r="L44" i="4"/>
  <c r="I45" i="4"/>
  <c r="J45" i="4"/>
  <c r="K45" i="4"/>
  <c r="L45" i="4"/>
  <c r="I46" i="4"/>
  <c r="J46" i="4"/>
  <c r="K46" i="4"/>
  <c r="L46" i="4"/>
  <c r="I47" i="4"/>
  <c r="J47" i="4"/>
  <c r="K47" i="4"/>
  <c r="L47" i="4"/>
  <c r="I48" i="4"/>
  <c r="J48" i="4"/>
  <c r="K48" i="4"/>
  <c r="L48" i="4"/>
  <c r="I49" i="4"/>
  <c r="J49" i="4"/>
  <c r="K49" i="4"/>
  <c r="L49" i="4"/>
  <c r="I50" i="4"/>
  <c r="J50" i="4"/>
  <c r="K50" i="4"/>
  <c r="L50" i="4"/>
  <c r="I51" i="4"/>
  <c r="J51" i="4"/>
  <c r="K51" i="4"/>
  <c r="L51" i="4"/>
  <c r="I52" i="4"/>
  <c r="J52" i="4"/>
  <c r="K52" i="4"/>
  <c r="L52" i="4"/>
  <c r="I53" i="4"/>
  <c r="J53" i="4"/>
  <c r="K53" i="4"/>
  <c r="L53" i="4"/>
  <c r="I54" i="4"/>
  <c r="J54" i="4"/>
  <c r="K54" i="4"/>
  <c r="L54" i="4"/>
  <c r="I55" i="4"/>
  <c r="J55" i="4"/>
  <c r="K55" i="4"/>
  <c r="L55" i="4"/>
  <c r="I56" i="4"/>
  <c r="J56" i="4"/>
  <c r="K56" i="4"/>
  <c r="L56" i="4"/>
  <c r="I57" i="4"/>
  <c r="J57" i="4"/>
  <c r="K57" i="4"/>
  <c r="L57" i="4"/>
  <c r="I58" i="4"/>
  <c r="J58" i="4"/>
  <c r="K58" i="4"/>
  <c r="L58" i="4"/>
  <c r="I59" i="4"/>
  <c r="J59" i="4"/>
  <c r="K59" i="4"/>
  <c r="L59" i="4"/>
  <c r="I60" i="4"/>
  <c r="J60" i="4"/>
  <c r="K60" i="4"/>
  <c r="L60" i="4"/>
  <c r="I61" i="4"/>
  <c r="J61" i="4"/>
  <c r="K61" i="4"/>
  <c r="L61" i="4"/>
  <c r="I62" i="4"/>
  <c r="J62" i="4"/>
  <c r="K62" i="4"/>
  <c r="L62" i="4"/>
  <c r="I63" i="4"/>
  <c r="J63" i="4"/>
  <c r="K63" i="4"/>
  <c r="L63" i="4"/>
  <c r="I64" i="4"/>
  <c r="J64" i="4"/>
  <c r="K64" i="4"/>
  <c r="L64" i="4"/>
  <c r="I65" i="4"/>
  <c r="J65" i="4"/>
  <c r="K65" i="4"/>
  <c r="L65" i="4"/>
  <c r="I66" i="4"/>
  <c r="J66" i="4"/>
  <c r="K66" i="4"/>
  <c r="L66" i="4"/>
  <c r="I67" i="4"/>
  <c r="J67" i="4"/>
  <c r="K67" i="4"/>
  <c r="L67" i="4"/>
  <c r="I68" i="4"/>
  <c r="J68" i="4"/>
  <c r="K68" i="4"/>
  <c r="L68" i="4"/>
  <c r="I69" i="4"/>
  <c r="J69" i="4"/>
  <c r="K69" i="4"/>
  <c r="L69" i="4"/>
  <c r="I70" i="4"/>
  <c r="J70" i="4"/>
  <c r="K70" i="4"/>
  <c r="L70" i="4"/>
  <c r="I71" i="4"/>
  <c r="J71" i="4"/>
  <c r="K71" i="4"/>
  <c r="L71" i="4"/>
  <c r="I72" i="4"/>
  <c r="J72" i="4"/>
  <c r="K72" i="4"/>
  <c r="L72" i="4"/>
  <c r="I73" i="4"/>
  <c r="J73" i="4"/>
  <c r="K73" i="4"/>
  <c r="L73" i="4"/>
  <c r="I74" i="4"/>
  <c r="J74" i="4"/>
  <c r="K74" i="4"/>
  <c r="L74" i="4"/>
  <c r="I75" i="4"/>
  <c r="J75" i="4"/>
  <c r="K75" i="4"/>
  <c r="L75" i="4"/>
  <c r="I76" i="4"/>
  <c r="J76" i="4"/>
  <c r="K76" i="4"/>
  <c r="L76" i="4"/>
  <c r="I77" i="4"/>
  <c r="J77" i="4"/>
  <c r="K77" i="4"/>
  <c r="L77" i="4"/>
  <c r="I78" i="4"/>
  <c r="J78" i="4"/>
  <c r="K78" i="4"/>
  <c r="L78" i="4"/>
  <c r="I79" i="4"/>
  <c r="J79" i="4"/>
  <c r="K79" i="4"/>
  <c r="L79" i="4"/>
  <c r="I80" i="4"/>
  <c r="J80" i="4"/>
  <c r="K80" i="4"/>
  <c r="L80" i="4"/>
  <c r="I81" i="4"/>
  <c r="J81" i="4"/>
  <c r="K81" i="4"/>
  <c r="L81" i="4"/>
  <c r="I82" i="4"/>
  <c r="J82" i="4"/>
  <c r="K82" i="4"/>
  <c r="L82" i="4"/>
  <c r="I83" i="4"/>
  <c r="J83" i="4"/>
  <c r="K83" i="4"/>
  <c r="L83" i="4"/>
  <c r="I84" i="4"/>
  <c r="J84" i="4"/>
  <c r="K84" i="4"/>
  <c r="L84" i="4"/>
  <c r="I85" i="4"/>
  <c r="J85" i="4"/>
  <c r="K85" i="4"/>
  <c r="L85" i="4"/>
  <c r="I86" i="4"/>
  <c r="J86" i="4"/>
  <c r="K86" i="4"/>
  <c r="L86" i="4"/>
  <c r="I87" i="4"/>
  <c r="J87" i="4"/>
  <c r="K87" i="4"/>
  <c r="L87" i="4"/>
  <c r="I88" i="4"/>
  <c r="J88" i="4"/>
  <c r="K88" i="4"/>
  <c r="L88" i="4"/>
  <c r="I89" i="4"/>
  <c r="J89" i="4"/>
  <c r="K89" i="4"/>
  <c r="L89" i="4"/>
  <c r="I90" i="4"/>
  <c r="J90" i="4"/>
  <c r="K90" i="4"/>
  <c r="L90" i="4"/>
  <c r="I91" i="4"/>
  <c r="J91" i="4"/>
  <c r="K91" i="4"/>
  <c r="L91" i="4"/>
  <c r="I6" i="4"/>
  <c r="J6" i="4"/>
  <c r="K6" i="4"/>
  <c r="L6" i="4"/>
  <c r="I7" i="4"/>
  <c r="J7" i="4"/>
  <c r="K7" i="4"/>
  <c r="L7" i="4"/>
  <c r="I8" i="4"/>
  <c r="J8" i="4"/>
  <c r="K8" i="4"/>
  <c r="L8" i="4"/>
  <c r="I9" i="4"/>
  <c r="J9" i="4"/>
  <c r="K9" i="4"/>
  <c r="L9" i="4"/>
  <c r="I10" i="4"/>
  <c r="J10" i="4"/>
  <c r="K10" i="4"/>
  <c r="L10" i="4"/>
  <c r="I11" i="4"/>
  <c r="J11" i="4"/>
  <c r="K11" i="4"/>
  <c r="L11" i="4"/>
  <c r="I12" i="4"/>
  <c r="J12" i="4"/>
  <c r="K12" i="4"/>
  <c r="L12" i="4"/>
  <c r="I13" i="4"/>
  <c r="J13" i="4"/>
  <c r="K13" i="4"/>
  <c r="L13" i="4"/>
  <c r="I14" i="4"/>
  <c r="J14" i="4"/>
  <c r="K14" i="4"/>
  <c r="L14" i="4"/>
  <c r="I15" i="4"/>
  <c r="J15" i="4"/>
  <c r="K15" i="4"/>
  <c r="L15" i="4"/>
  <c r="I16" i="4"/>
  <c r="J16" i="4"/>
  <c r="K16" i="4"/>
  <c r="L16" i="4"/>
  <c r="I17" i="4"/>
  <c r="J17" i="4"/>
  <c r="K17" i="4"/>
  <c r="L17" i="4"/>
  <c r="I18" i="4"/>
  <c r="J18" i="4"/>
  <c r="K18" i="4"/>
  <c r="L18" i="4"/>
  <c r="L5" i="4"/>
  <c r="K5" i="4"/>
  <c r="J5" i="4"/>
  <c r="I5" i="4"/>
  <c r="D8" i="5"/>
  <c r="D7" i="5"/>
  <c r="D6" i="5"/>
  <c r="D5" i="5"/>
  <c r="J115" i="1"/>
  <c r="J62" i="1"/>
  <c r="M62" i="1" s="1"/>
  <c r="F65" i="1"/>
  <c r="G115" i="1"/>
  <c r="H115" i="1"/>
  <c r="I115" i="1"/>
  <c r="K115" i="1"/>
  <c r="L115" i="1"/>
  <c r="F115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2" i="1"/>
  <c r="M113" i="1"/>
  <c r="M114" i="1"/>
  <c r="M111" i="1"/>
  <c r="G112" i="1"/>
  <c r="H112" i="1"/>
  <c r="I112" i="1"/>
  <c r="J112" i="1"/>
  <c r="K112" i="1"/>
  <c r="L112" i="1"/>
  <c r="F112" i="1"/>
  <c r="G111" i="1"/>
  <c r="H111" i="1"/>
  <c r="I111" i="1"/>
  <c r="K111" i="1"/>
  <c r="L111" i="1"/>
  <c r="F111" i="1"/>
  <c r="K90" i="1"/>
  <c r="I92" i="1"/>
  <c r="K92" i="1"/>
  <c r="L92" i="1"/>
  <c r="I93" i="1"/>
  <c r="K93" i="1"/>
  <c r="L93" i="1"/>
  <c r="I94" i="1"/>
  <c r="I90" i="1" s="1"/>
  <c r="K94" i="1"/>
  <c r="L94" i="1"/>
  <c r="L90" i="1" s="1"/>
  <c r="F90" i="1"/>
  <c r="I55" i="1"/>
  <c r="I56" i="1"/>
  <c r="L55" i="1"/>
  <c r="J55" i="1"/>
  <c r="K55" i="1"/>
  <c r="L56" i="1"/>
  <c r="K56" i="1"/>
  <c r="J50" i="1"/>
  <c r="I44" i="1"/>
  <c r="K44" i="1"/>
  <c r="L44" i="1"/>
  <c r="H29" i="1"/>
  <c r="I29" i="1"/>
  <c r="K29" i="1"/>
  <c r="F29" i="1"/>
  <c r="G31" i="1"/>
  <c r="H31" i="1"/>
  <c r="I31" i="1"/>
  <c r="K31" i="1"/>
  <c r="L31" i="1"/>
  <c r="F31" i="1"/>
  <c r="G55" i="1"/>
  <c r="H55" i="1"/>
  <c r="F55" i="1"/>
  <c r="F6" i="4"/>
  <c r="G6" i="4"/>
  <c r="H6" i="4"/>
  <c r="F7" i="4"/>
  <c r="G7" i="4"/>
  <c r="H7" i="4"/>
  <c r="F8" i="4"/>
  <c r="G8" i="4"/>
  <c r="H8" i="4"/>
  <c r="F9" i="4"/>
  <c r="G9" i="4"/>
  <c r="H9" i="4"/>
  <c r="F10" i="4"/>
  <c r="G10" i="4"/>
  <c r="H10" i="4"/>
  <c r="F11" i="4"/>
  <c r="G11" i="4"/>
  <c r="H11" i="4"/>
  <c r="F12" i="4"/>
  <c r="G12" i="4"/>
  <c r="H12" i="4"/>
  <c r="F13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F28" i="4"/>
  <c r="G28" i="4"/>
  <c r="H28" i="4"/>
  <c r="F29" i="4"/>
  <c r="G29" i="4"/>
  <c r="H29" i="4"/>
  <c r="F30" i="4"/>
  <c r="G30" i="4"/>
  <c r="H30" i="4"/>
  <c r="F31" i="4"/>
  <c r="G31" i="4"/>
  <c r="H31" i="4"/>
  <c r="F32" i="4"/>
  <c r="G32" i="4"/>
  <c r="H32" i="4"/>
  <c r="F33" i="4"/>
  <c r="G33" i="4"/>
  <c r="H33" i="4"/>
  <c r="F34" i="4"/>
  <c r="G34" i="4"/>
  <c r="H34" i="4"/>
  <c r="F35" i="4"/>
  <c r="G35" i="4"/>
  <c r="H35" i="4"/>
  <c r="F36" i="4"/>
  <c r="G36" i="4"/>
  <c r="H36" i="4"/>
  <c r="F37" i="4"/>
  <c r="G37" i="4"/>
  <c r="H37" i="4"/>
  <c r="F38" i="4"/>
  <c r="G38" i="4"/>
  <c r="H38" i="4"/>
  <c r="F39" i="4"/>
  <c r="G39" i="4"/>
  <c r="H39" i="4"/>
  <c r="F40" i="4"/>
  <c r="G40" i="4"/>
  <c r="H40" i="4"/>
  <c r="F41" i="4"/>
  <c r="G41" i="4"/>
  <c r="H41" i="4"/>
  <c r="F42" i="4"/>
  <c r="G42" i="4"/>
  <c r="H42" i="4"/>
  <c r="F43" i="4"/>
  <c r="G43" i="4"/>
  <c r="H43" i="4"/>
  <c r="F44" i="4"/>
  <c r="G44" i="4"/>
  <c r="H44" i="4"/>
  <c r="F45" i="4"/>
  <c r="G45" i="4"/>
  <c r="H45" i="4"/>
  <c r="F46" i="4"/>
  <c r="G46" i="4"/>
  <c r="H46" i="4"/>
  <c r="F47" i="4"/>
  <c r="G47" i="4"/>
  <c r="H47" i="4"/>
  <c r="F48" i="4"/>
  <c r="G48" i="4"/>
  <c r="H48" i="4"/>
  <c r="F50" i="4"/>
  <c r="G50" i="4"/>
  <c r="H50" i="4"/>
  <c r="F51" i="4"/>
  <c r="G51" i="4"/>
  <c r="H51" i="4"/>
  <c r="F52" i="4"/>
  <c r="G52" i="4"/>
  <c r="H52" i="4"/>
  <c r="F53" i="4"/>
  <c r="G53" i="4"/>
  <c r="H53" i="4"/>
  <c r="F54" i="4"/>
  <c r="G54" i="4"/>
  <c r="H54" i="4"/>
  <c r="F55" i="4"/>
  <c r="G55" i="4"/>
  <c r="H55" i="4"/>
  <c r="F56" i="4"/>
  <c r="G56" i="4"/>
  <c r="H56" i="4"/>
  <c r="F57" i="4"/>
  <c r="G57" i="4"/>
  <c r="H57" i="4"/>
  <c r="F58" i="4"/>
  <c r="G58" i="4"/>
  <c r="H58" i="4"/>
  <c r="F59" i="4"/>
  <c r="G59" i="4"/>
  <c r="H59" i="4"/>
  <c r="F60" i="4"/>
  <c r="G60" i="4"/>
  <c r="H60" i="4"/>
  <c r="F61" i="4"/>
  <c r="G61" i="4"/>
  <c r="H61" i="4"/>
  <c r="F62" i="4"/>
  <c r="G62" i="4"/>
  <c r="H62" i="4"/>
  <c r="F63" i="4"/>
  <c r="G63" i="4"/>
  <c r="H63" i="4"/>
  <c r="F64" i="4"/>
  <c r="G64" i="4"/>
  <c r="H64" i="4"/>
  <c r="F65" i="4"/>
  <c r="G65" i="4"/>
  <c r="H65" i="4"/>
  <c r="F66" i="4"/>
  <c r="G66" i="4"/>
  <c r="H66" i="4"/>
  <c r="F67" i="4"/>
  <c r="G67" i="4"/>
  <c r="H67" i="4"/>
  <c r="F69" i="4"/>
  <c r="G69" i="4"/>
  <c r="H69" i="4"/>
  <c r="F70" i="4"/>
  <c r="G70" i="4"/>
  <c r="H70" i="4"/>
  <c r="F71" i="4"/>
  <c r="G71" i="4"/>
  <c r="H71" i="4"/>
  <c r="F72" i="4"/>
  <c r="G72" i="4"/>
  <c r="H72" i="4"/>
  <c r="F73" i="4"/>
  <c r="G73" i="4"/>
  <c r="H73" i="4"/>
  <c r="F74" i="4"/>
  <c r="G74" i="4"/>
  <c r="H74" i="4"/>
  <c r="F75" i="4"/>
  <c r="G75" i="4"/>
  <c r="H75" i="4"/>
  <c r="F76" i="4"/>
  <c r="G76" i="4"/>
  <c r="H76" i="4"/>
  <c r="F77" i="4"/>
  <c r="G77" i="4"/>
  <c r="H77" i="4"/>
  <c r="F78" i="4"/>
  <c r="G78" i="4"/>
  <c r="H78" i="4"/>
  <c r="F79" i="4"/>
  <c r="G79" i="4"/>
  <c r="H79" i="4"/>
  <c r="F80" i="4"/>
  <c r="G80" i="4"/>
  <c r="H80" i="4"/>
  <c r="F81" i="4"/>
  <c r="G81" i="4"/>
  <c r="H81" i="4"/>
  <c r="F82" i="4"/>
  <c r="G82" i="4"/>
  <c r="H82" i="4"/>
  <c r="F83" i="4"/>
  <c r="G83" i="4"/>
  <c r="H83" i="4"/>
  <c r="F84" i="4"/>
  <c r="G84" i="4"/>
  <c r="H84" i="4"/>
  <c r="F85" i="4"/>
  <c r="G85" i="4"/>
  <c r="H85" i="4"/>
  <c r="F86" i="4"/>
  <c r="G86" i="4"/>
  <c r="H86" i="4"/>
  <c r="F87" i="4"/>
  <c r="G87" i="4"/>
  <c r="H87" i="4"/>
  <c r="F88" i="4"/>
  <c r="G88" i="4"/>
  <c r="H88" i="4"/>
  <c r="H89" i="4"/>
  <c r="G5" i="4"/>
  <c r="H5" i="4"/>
  <c r="F5" i="4"/>
  <c r="H44" i="1"/>
  <c r="G89" i="4"/>
  <c r="F89" i="4"/>
  <c r="G56" i="1"/>
  <c r="G49" i="4" s="1"/>
  <c r="F92" i="1"/>
  <c r="F93" i="1" s="1"/>
  <c r="G94" i="1"/>
  <c r="G90" i="1" s="1"/>
  <c r="F94" i="1"/>
  <c r="G92" i="1"/>
  <c r="F56" i="1"/>
  <c r="F49" i="4" s="1"/>
  <c r="H56" i="1"/>
  <c r="H49" i="4" s="1"/>
  <c r="H92" i="1" l="1"/>
  <c r="H93" i="1" s="1"/>
  <c r="H94" i="1"/>
  <c r="H90" i="1" s="1"/>
  <c r="H92" i="4"/>
  <c r="E4" i="5" s="1"/>
  <c r="F92" i="4"/>
  <c r="E2" i="5" s="1"/>
  <c r="G92" i="4"/>
  <c r="E3" i="5" s="1"/>
  <c r="G93" i="1"/>
  <c r="D4" i="5"/>
  <c r="D2" i="5"/>
  <c r="D3" i="5" l="1"/>
  <c r="M115" i="1"/>
</calcChain>
</file>

<file path=xl/sharedStrings.xml><?xml version="1.0" encoding="utf-8"?>
<sst xmlns="http://schemas.openxmlformats.org/spreadsheetml/2006/main" count="641" uniqueCount="253">
  <si>
    <t>STANDARISASI HARGA PROJECT</t>
  </si>
  <si>
    <t>NO</t>
  </si>
  <si>
    <t>ITEM DESIGN</t>
  </si>
  <si>
    <t>URAIAN DESIGN</t>
  </si>
  <si>
    <t>SATUAN</t>
  </si>
  <si>
    <t>HARGA</t>
  </si>
  <si>
    <t>A. Kabel, Penyambungan, dan Pekerjaan Sipil</t>
  </si>
  <si>
    <t>AC-ADSS-SM-12C</t>
  </si>
  <si>
    <t>Jasa Pemasangan Aerial Cable Fiber Optik Single Mode 12 Core G.652 C Type ADSS Cable</t>
  </si>
  <si>
    <t>meter</t>
  </si>
  <si>
    <t>AC-ADSS-SM-24C</t>
  </si>
  <si>
    <t>Jasa Pemasangan Aerial Cable Fiber Optik Single Mode 24 Core G.652 C Type ADSS Cable</t>
  </si>
  <si>
    <t>AC-ADSS-SM-48C</t>
  </si>
  <si>
    <t>Jasa Pemasangan Aerial Cable Fiber Optik Single Mode 48 Core G.652 C Type ADSS Cable</t>
  </si>
  <si>
    <t>AC-ADSS-SM-96C</t>
  </si>
  <si>
    <t>Jasa Pemasangan Aerial Cable Fiber Optik Single Mode 96 Core G.652 C Type ADSS Cable</t>
  </si>
  <si>
    <t>AC-ADSS-SM-144C</t>
  </si>
  <si>
    <t>Jasa Pemasangan Aerial Cable Fiber Optik Single Mode 144 Core G.652 C Type ADSS Cable</t>
  </si>
  <si>
    <t>AC-ADSS-SM-288C</t>
  </si>
  <si>
    <t>Jasa Pemasangan Aerial Cable Fiber Optik Single Mode 288 Core G.652 C Type ADSS Cable</t>
  </si>
  <si>
    <t>JC-OF-SM-12C</t>
  </si>
  <si>
    <t>Jasa Pemasangan Joint Closure Untuk Fiber Optik Kapasitas 12 Core</t>
  </si>
  <si>
    <t>pcs</t>
  </si>
  <si>
    <t>JC-OF-SM-24C</t>
  </si>
  <si>
    <t>Jasa Pemasangan Joint Closure Untuk Fiber Optik Kapasitas 24 Core</t>
  </si>
  <si>
    <t>JC-OF-SM-48C</t>
  </si>
  <si>
    <t>Jasa Pemasangan Joint Closure Untuk Fiber Optik Kapasitas 48 Core</t>
  </si>
  <si>
    <t>JC-OF-SM-96C</t>
  </si>
  <si>
    <t>Jasa Pemasangan Joint Closure Untuk Fiber Optik Kapasitas 96 Core</t>
  </si>
  <si>
    <t>JC-OF-SM-144C</t>
  </si>
  <si>
    <t>Jasa Pemasangan Joint Closure Untuk Fiber Optik Kapasitas 144 Core</t>
  </si>
  <si>
    <t>JC-OF-SM-288C</t>
  </si>
  <si>
    <t>Jasa Pemasangan Joint Closure Untuk Fiber Optik Kapasitas 288 Core</t>
  </si>
  <si>
    <t>OTB-SM-6</t>
  </si>
  <si>
    <t>Jasa Pemasangan OTB Single Mode kapasitas 12 core, Adapter (SC Connector), pigtail dan protection sleeve pada cassette/box</t>
  </si>
  <si>
    <t>OTB-SM-8</t>
  </si>
  <si>
    <t>OTB-SM-12</t>
  </si>
  <si>
    <t>OTB-SM-24</t>
  </si>
  <si>
    <t>Jasa Pemasangan OTB Single Mode kapasitas 24 core, Adapter (SC Connector), pigtail dan protection sleeve pada cassette/box</t>
  </si>
  <si>
    <t>OTB-SM-48</t>
  </si>
  <si>
    <t>Jasa Pemasangan OTB Single Mode kapasitas 48 core, Adapter (SC Connector), pigtail dan protection sleeve pada cassette/box</t>
  </si>
  <si>
    <t>OTB-SM-96</t>
  </si>
  <si>
    <t>Jasa Pemasangan OTB Single Mode kapasitas 96 core, Adapter (SC Connector), pigtail dan protection sleeve pada cassette/box</t>
  </si>
  <si>
    <t>OTB-SM-144</t>
  </si>
  <si>
    <t>Jasa Pemasangan OTB Single Mode kapasitas 144 core, Adapter (SC Connector), pigtail dan protection sleeve pada cassette/box</t>
  </si>
  <si>
    <t>OTB-SM-288</t>
  </si>
  <si>
    <t>Jasa Pemasangan OTB Single Mode kapasitas 288 core, Adapter (SC Connector), pigtail dan protection sleeve pada cassette/box</t>
  </si>
  <si>
    <t>PS-1-2-FDT</t>
  </si>
  <si>
    <t>Jasa pemasangan Passive Splitter 1:2, type modular SC/UPC, for FDT, termasuk pigtail</t>
  </si>
  <si>
    <t>PS-1-4-FDT</t>
  </si>
  <si>
    <t>Jasa pemasangan Passive Splitter 1:4, type modular SC/UPC, for FDT, termasuk pigtail</t>
  </si>
  <si>
    <t>PS-1-8-FAT</t>
  </si>
  <si>
    <t>Jasa pemasangan Passive Splitter 1:8, type modular SC/UPC, for FAT, termasuk pigtail</t>
  </si>
  <si>
    <t>PS-1-16-FAT</t>
  </si>
  <si>
    <t>Jasa pemasangan Passive Splitter 1:16, type modular SC/UPC, for FAT, termasuk pigtail</t>
  </si>
  <si>
    <t>FAT-PB-8C-SOLID</t>
  </si>
  <si>
    <t>Jasa pemasangan FAT type POLE Kap 8 core adaptor SC/UPC terdiri dari 1 Box Spliter (termasuk 1 spliter 1:8), 1 Box beserta Accessories, berikut pelabelan.</t>
  </si>
  <si>
    <t>FAT-PB-16C-SOLID</t>
  </si>
  <si>
    <t>Jasa pemasangan  FAT type POLE Kap 16 core adaptor SC/UPC terdiri dari 2Box Spliter (termasuk 2 spliter 1:8), 1 Box beserta Accessories, berikut pelabelan.</t>
  </si>
  <si>
    <t>Base Tray ODC</t>
  </si>
  <si>
    <t>Jasa pemasangan OTB termasuk terminasi dan penyambungan kabel optik Single mode kap 12 core serta Adapter (SC Connector), pigtail dan protection sleeve pada cassette/box</t>
  </si>
  <si>
    <t>FAT-PDSTL-8</t>
  </si>
  <si>
    <t>Jasa pemasangan FAT ( Pedestal ) kap 8 core termasuk pigtail, berikut space 1 splitter (1:8) dan Pelabelan</t>
  </si>
  <si>
    <t>FAT-PDSTL-16</t>
  </si>
  <si>
    <t>Jasa pemasangan FAT ( Pedestal ) kap 16 core termasuk pigtail, berikut space 1 splitter (1:16) dan Pelabelan</t>
  </si>
  <si>
    <t>FDT-POLE-48C</t>
  </si>
  <si>
    <t>Jasa pemasangan FDT-Pole (Outdoor) With Space For Passive Splitter, Adaptor SC Kapasitas 48 Core, Berikut Pelabelan</t>
  </si>
  <si>
    <t>FDT-POLE-96C</t>
  </si>
  <si>
    <t>Jasa pemasangan FDT-Pole (Outdoor) With Space For Passive Splitter, Adaptor SC Kapasitas 96 Core, Berikut Pelabelan</t>
  </si>
  <si>
    <t>FDT-STDG-96C</t>
  </si>
  <si>
    <t>Jasa pemasangan Kabinet FDT(Outdoor) With Space For Passive Splitter, Adaptor SC Kapasitas 96 Core, Berikut Pelabelan</t>
  </si>
  <si>
    <t>FDT-STDG-144C</t>
  </si>
  <si>
    <t>Jasa pemasangan Kabinet FDT(Outdoor) With Space For Passive Splitter, Adaptor SC Kapasitas 144 Core, Berikut Pelabelan</t>
  </si>
  <si>
    <t>FDT-STDG-288C</t>
  </si>
  <si>
    <t>Jasa pemasangan Kabinet FDT(Outdoor) With Space For Passive Splitter, Adaptor SC Kapasitas 288 Core, Berikut Pelabelan</t>
  </si>
  <si>
    <t>NP-6.0-100-1S</t>
  </si>
  <si>
    <t>Jasa pemasangan New Pole 6 Meter 2,5" x 600, Berikut Cat dengan warna identitas Kuning (atas) Biru (Bawah) &amp; Cor Pondasi dengan Kekuatan Tarik 100 Kg</t>
  </si>
  <si>
    <t>NP-7.0-140-2S</t>
  </si>
  <si>
    <t>Jasa pemasangan New Pole 7 Meter 600 x 3",200 x 3" x 100 x 2,5" , Berikut Cat dengan warna identitas Kuning (atas) Biru (bawah)</t>
  </si>
  <si>
    <t>NP-7.0-140-3S</t>
  </si>
  <si>
    <t>Jasa pemasangan New Pole 7 Meter 300 x 4",200 x 3" x 200 x 2,5" , Berikut Cat dengan warna identitas Kuning (atas) Biru (bawah) &amp; Cor Pondasi dengan Kekuatan Tarik 140 Kg</t>
  </si>
  <si>
    <t>NP-9.0-140-3S</t>
  </si>
  <si>
    <t>Jasa pemasangan New Pole 9 Meter 400 x 4", 300 x 3", 200 x 2.5", Berikut Cat dengan warna identitas Kuning (atas) Biru (bawah) &amp; Cor Pondasi dengan Kekuatan Tarik 140 Kg</t>
  </si>
  <si>
    <t>NP-CB-7.0-250</t>
  </si>
  <si>
    <t>Jasa pemasangan New Pole Beton 7 Meter, Berikut Cat dengan warna identitas Kuning (atas) Biru (bawah) &amp; Cor Pondasi dengan Kekuatan Tarik 250 Kg</t>
  </si>
  <si>
    <t>NP-CB-9.0-250</t>
  </si>
  <si>
    <t>Jasa pemasangan New Pole Beton 9 Meter, Berikut Cat dengan warna identitas Kuning (atas) Biru (bawah) &amp; Cor Pondasi dengan Kekuatan Tarik 250 Kg</t>
  </si>
  <si>
    <t>PP-CD-IN</t>
  </si>
  <si>
    <t>Jasa pemasangan Pipe Protection Indoor Cable (Pvc White) High Impact Conduit 20 Mm</t>
  </si>
  <si>
    <t>PP-CD-OUT</t>
  </si>
  <si>
    <t>Jasa pemasangan Pipe Protection Outdoor Cable (Pvc Black) High Impact Conduit 20 Mm</t>
  </si>
  <si>
    <t>HDPE-40-33</t>
  </si>
  <si>
    <t>Jasa pemasangan Pipa Hdpe 40/33 Mm 1 Pipa Dengan Kedalaman 1,5 Meter dan warna identitas Kuning strip Biru</t>
  </si>
  <si>
    <t>TT-NP</t>
  </si>
  <si>
    <t>Jasa pemasangan Temberang Tarik</t>
  </si>
  <si>
    <t>GB-0.1-OHM</t>
  </si>
  <si>
    <t>Jasa pemasangan Grounding 1 titik rod pada FATdengan tahanan maks 3 ohm</t>
  </si>
  <si>
    <t>GB-0.2-OHM</t>
  </si>
  <si>
    <t>Jasa pemasangan Grounding 3 titik rod pada FDT dengan tahanan maks 2 ohm</t>
  </si>
  <si>
    <t>GB-0.3-OHM</t>
  </si>
  <si>
    <t>Jasa pemasangan Grounding 5 titik rod pada FDT dengan tahanan maks 1 ohm</t>
  </si>
  <si>
    <t>FS-OF-SM</t>
  </si>
  <si>
    <t>Jasa Penyambungan Cable Optik Single Mode 1 Core Dengan Cara Fusion Splice</t>
  </si>
  <si>
    <t>core</t>
  </si>
  <si>
    <t>NN-OTDR-CORE</t>
  </si>
  <si>
    <t>Jasa Pekerjaan Pengukuran Dengan OTDR, berikut Validasi dan Update Management Data</t>
  </si>
  <si>
    <t>NN-CO-CORE</t>
  </si>
  <si>
    <t>Jasa Pekerjaan Cut Over Kabel Serat Optik, berikut Validasi dan Update Management Data</t>
  </si>
  <si>
    <t>EXCAVATION-0.4</t>
  </si>
  <si>
    <t>Jasa Pekerjaan Galian, Pengurugan Kembali Dan Perbaikan Kembali, Pengisian Pasir,  Kedalaman 40 cm/ 0.4 meter</t>
  </si>
  <si>
    <t>EXCAVATION-0.6</t>
  </si>
  <si>
    <t>Jasa Pekerjaan Galian, Pengurugan Kembali Dan Perbaikan Kembali, Pengisian Pasir,  Kedalaman 60 cm/ 0.6 meter</t>
  </si>
  <si>
    <t>EXCAVATION-1.0</t>
  </si>
  <si>
    <t>Jasa Pekerjaan Galian, Pengurugan Kembali Dan Perbaikan Kembali, Pengisian Pasir,  Kedalaman 100 cm/ 1.0 meter</t>
  </si>
  <si>
    <t>EXCAVATION-1.2</t>
  </si>
  <si>
    <t>Jasa Pekerjaan Galian, Pengurugan Kembali Dan Perbaikan Kembali, Pengisian Pasir,  Kedalaman 120 cm/ 1.2 meter</t>
  </si>
  <si>
    <t>EXCAVATION-1.5</t>
  </si>
  <si>
    <t>Jasa Pekerjaan &amp; pengadaan Material  Galian, Pengurugan Kembali Dan Perbaikan Kembali, Pengisian Pasir,  Kedalaman 150 cm/ 1.5 meter</t>
  </si>
  <si>
    <t>BCTR-ROCK</t>
  </si>
  <si>
    <t>Jasa galian batu masif kedalaman 1,5 meter, panjang minimum 5 m, termasuk pengadaan marking post</t>
  </si>
  <si>
    <t>BD-SK</t>
  </si>
  <si>
    <t>Jasa Pekerjaan &amp; pengadaan Material bobokan dan perbaikan Dinding Chamber / BTS / SHELTER untuk lubang Sparing Kabel</t>
  </si>
  <si>
    <t>titik</t>
  </si>
  <si>
    <t>DD-BRNG-HDPE-40-1</t>
  </si>
  <si>
    <t>Jasa Pekerjaan Boring manual (rojok) HDPE  40/33 mm 1 pipa dengan kedalaman 1,5 meter</t>
  </si>
  <si>
    <t>DD-BRNG-HDPE-40-2</t>
  </si>
  <si>
    <t>Jasa Pemasangan Pipa galvanis dengan ukuran diameter 50 mm dan ketebalan 2,7 mm cara boring manual /mesin 1 pipa dengan kedalaman minimal 150 cm, 2 pipa</t>
  </si>
  <si>
    <t>DD-BRNG-HDPE-50-1</t>
  </si>
  <si>
    <t>Jasa Pekerjaan Boring manual (rojok)  HDPE  50/42 mm 1 pipa dengan kedalaman 1,5 meter</t>
  </si>
  <si>
    <t>DD-BRNG-HDPE-50-2</t>
  </si>
  <si>
    <t>Jasa Pekerjaan Boring manual (rojok)  HDPE  50/42 mm 2 pipa dengan kedalaman 1,5 meter</t>
  </si>
  <si>
    <t>DD-ROD</t>
  </si>
  <si>
    <t>Jasa Pekerjaan Pembersihan pada route Duct yang kosong / Rodding Duct Existing</t>
  </si>
  <si>
    <t>DD-RV-1</t>
  </si>
  <si>
    <t>Jasa Pekerjaan Perbaikan Route Duct / HDPE, 1 pipa</t>
  </si>
  <si>
    <t>DD-RV-CONCRETE</t>
  </si>
  <si>
    <t>Jasa Pekerjaan &amp; Pengadaan Material bobok dinding MH / HH termasuk perbaikan kembali</t>
  </si>
  <si>
    <t>m3</t>
  </si>
  <si>
    <t>DD-DS-S1</t>
  </si>
  <si>
    <t>Jasa Pekerjaan &amp; Pengadaan Material  duct baru dengan cara melakukan boring dibawah dasar parit/sungai dengan kedalaman 1,5 m dengan menggunakan PVC diameter 100 mm dan ketebalan 5,5 mm 1 pipa</t>
  </si>
  <si>
    <t>DD-DS-COD1-M</t>
  </si>
  <si>
    <t>Jasa Pekerjaan &amp; Pengadaan Material duct baru type COD, dengan mesin pengeboran (borring) dibawah parit, pada kedalaman 1,50 m di bawah dasar selokan, tanpa perlindungan PVC, 1 pipa</t>
  </si>
  <si>
    <t>Klem HDPE</t>
  </si>
  <si>
    <t>Jasa Pekerjaan &amp; Pengadaan Material Klem HDPE di dinding beton dengan klem ketebalan 2mm lebar 2,5 cm menggunakan dynabolt termasuk rekondisi atau perbaikan kerusakan</t>
  </si>
  <si>
    <t>B. Manhole, Perbaikan dan Modifikasi</t>
  </si>
  <si>
    <t>MH-HH-170</t>
  </si>
  <si>
    <t>Jasa Pekerjaan &amp; Pengadaan Material Handhole Type HH1 ukuran dimensi dalam (P X L X T = 170x150x165) cor beton 1 : 2 : 3 dengan tulisan " ID-NET "</t>
  </si>
  <si>
    <t>MH-PIT-120</t>
  </si>
  <si>
    <t>Jasa Pekerjaan &amp; Pengadaan Material Handhole Type HH2 ukuran dimensi dalam (P X L X T = 120x130x165) cor beton 1 : 2 : 3 dengan tulisan " ID-NET "</t>
  </si>
  <si>
    <t>HH-PIT-80</t>
  </si>
  <si>
    <t>Jasa Pekerjaan &amp; Pengadaan Material Handhole Pit ukuran dimensi dalam (P x L x T = 80cm x 80cm x 100cm) cor beton 1 : 2 : 3 dengan tulisan " ID-NET "</t>
  </si>
  <si>
    <t>HH-PIT-P-HA</t>
  </si>
  <si>
    <t>Jasa Pekerjaan &amp; Pengadaan Material Pembuatan HH Pit Portable Home Access ukuran 40cm beserta aksesorisnya</t>
  </si>
  <si>
    <t>HH-PIT-P-FAT</t>
  </si>
  <si>
    <t>Jasa Pekerjaan &amp; Pengadaan Material Pembuatan dan Pemasangan HH PIT Portable FAT beserta aksesorisnya</t>
  </si>
  <si>
    <t>HH-PIT-P-FDT</t>
  </si>
  <si>
    <t>Jasa Pekerjaan &amp; Pengadaan Material Pembuatan dan Pemasangan HH PIT Portable FDT beserta aksesorisnya</t>
  </si>
  <si>
    <t>MH-HH-REKONDISI</t>
  </si>
  <si>
    <t>Jasa Pekerjaan &amp; Pengadaan Material Peninggian Tutup Manhole/Handhole</t>
  </si>
  <si>
    <t>DRWG-ABD-PRJCT</t>
  </si>
  <si>
    <t>Jasa Pembuatan As Build Drawing Dalam Ukuran A3 Meliputi Manajemen Core, Peta Lokasi &amp; Skema Kabel Per Segment Per Order</t>
  </si>
  <si>
    <t>Package</t>
  </si>
  <si>
    <t>SITAC-FDT-MH-HH</t>
  </si>
  <si>
    <t>Biaya perizinan yang diberikan untuk penempatan FDT termasuk MH dan HH di dalam lahan selain PU yang bersifat restribusi</t>
  </si>
  <si>
    <t>pengajuan</t>
  </si>
  <si>
    <t>SLACK-SUPPORT-80</t>
  </si>
  <si>
    <t>Jasa Pemasangan Slack include sabuk ukuran dimensi dalam (P x L = 80cm x 80cm)</t>
  </si>
  <si>
    <t>SLACK-SUPPORT-120</t>
  </si>
  <si>
    <t>Jasa Pemasangan Slack include sabuk ukuran dimensi dalam (P x L = 120cm x 120cm)</t>
  </si>
  <si>
    <t>LABELING-KFA</t>
  </si>
  <si>
    <t>Jasa Pemasangan &amp; Pengadaan label kabel Fiber Optik dengan material akrilik warna (P x L = 5cm x 15cm, tebal = 5 mm)</t>
  </si>
  <si>
    <t>LABELING-PC</t>
  </si>
  <si>
    <t>Jasa Pemasangan &amp; Pengadaan material termasuk jasa Pelabelan Digital dan Perapian Di Dalam FDT</t>
  </si>
  <si>
    <t>RP-GALVANIS</t>
  </si>
  <si>
    <t>Jasa Pemasangan Riser Pipe Untuk Pengamanan Kabel Optik Ke FDT Pole / Titik Naik Ku Diameter 2 Inch Panjang 3 Meter</t>
  </si>
  <si>
    <t>ACC-STAINLESS BELT</t>
  </si>
  <si>
    <t>Jasa Pemasangan Aksesoris Tiang Besi Stainless Belt dan Pengunci</t>
  </si>
  <si>
    <t>ACC-SUSPENSION AYUN</t>
  </si>
  <si>
    <t>Jasa Pemasangan Aksesoris Tiang Besi Suspension Ayun</t>
  </si>
  <si>
    <t>ACC-HELLICAL</t>
  </si>
  <si>
    <t>Jasa Pemasangan Aksesoris Tiang Besi Helycal Cable</t>
  </si>
  <si>
    <t>ACC-ANCHORING</t>
  </si>
  <si>
    <t>Jasa Pemasangan Aksesoris Tiang Besi Penguat Fiber Optik Figure-8</t>
  </si>
  <si>
    <t>ACC-Bracket</t>
  </si>
  <si>
    <t>Jasa Pemasangan Aksesoris Tiang Besi Anchoring/ Bracket A</t>
  </si>
  <si>
    <t>ACC-POLESTRAP SPIRAL</t>
  </si>
  <si>
    <t>Jasa Pemasangan Aksesoris Tiang Besi Polestrap Spiral Untuk Penambatan Dropcore</t>
  </si>
  <si>
    <t>C. Add Item</t>
  </si>
  <si>
    <t>FDT-PROT-144</t>
  </si>
  <si>
    <t>Jasa Pemasangan Kerangkeng FDT-144, menggunakan rangka besi siku 4 cm dan ram besi beton diameter 10 mm, dengan gembok 50 mm</t>
  </si>
  <si>
    <t>FDT-PROT-288</t>
  </si>
  <si>
    <t>Jasa Pemasangan Kerangkeng FDT-288, menggunakan rangka besi siku 4 cm dan ram besi beton dia. 10 mm, dengan gembok 50 mm</t>
  </si>
  <si>
    <t>REGEL-CABLE</t>
  </si>
  <si>
    <t>Jasa Perapian Kabel Udara Fiber Optik Single Mode 1-144 core G 652 D Existing Terjuntai</t>
  </si>
  <si>
    <t>ROLLBACK-CABLE</t>
  </si>
  <si>
    <t>Jasa Geser Kabel Udara Fiber Optik Single Mode kapasitas 1-144 core</t>
  </si>
  <si>
    <t>DISMANTLE-CABLE</t>
  </si>
  <si>
    <t>Jasa Pembongkaran dan Gulung Kabel Udara Fiber Optik Single Mode kapasitas 1-144 core (beserta pengembalian ke gudang terdekat)</t>
  </si>
  <si>
    <t>PU-S7-BACKEND</t>
  </si>
  <si>
    <t>Jasa Pencabutan Tiang besi 7 meter Eksisting (tiang bengkok dikembalikan ke gudang)</t>
  </si>
  <si>
    <t>PU-S9-BACKEND</t>
  </si>
  <si>
    <t>Jasa Pencabutan Tiang besi 9 meter Eksisting (tiang bengkok dikembalikan ke gudang)</t>
  </si>
  <si>
    <t>PU-LABEL-EXST</t>
  </si>
  <si>
    <t>Jasa Pelabelan Tiang dengan menggunakan cat besi sesuai DESIGN PACK</t>
  </si>
  <si>
    <t>node</t>
  </si>
  <si>
    <t>RK-OLT-OUTDOOR</t>
  </si>
  <si>
    <t>Jasa Pemasangan Mini OLT Outdoor berikut dengan pondasi Rak Mini OLT Outdoor dan Manhole 120, sesuai guidelines yang berlaku</t>
  </si>
  <si>
    <t>PIPE-BRIDGE</t>
  </si>
  <si>
    <t>jasa Pemasangan Pipa galvanis dengan ukuran diameter 5" pada jembatan berikut dengan penyambungan pipa dan cat identitas INTERNUSA GROUP</t>
  </si>
  <si>
    <t>MV-MATERIAL-20/39</t>
  </si>
  <si>
    <t>Delivery material dalam jarak 0-20 km dari WH INTERNUSA ke on site pekerjaan per segment</t>
  </si>
  <si>
    <t>ls</t>
  </si>
  <si>
    <t>MV-MATERIAL-20/40</t>
  </si>
  <si>
    <t>Delivery material dalam jarak 20-40 km dari WH INTERNUSA ke on site pekerjaan per segment</t>
  </si>
  <si>
    <t>MV-MATERIAL-40/60</t>
  </si>
  <si>
    <t>Delivery material dalam jarak 40-60 km dari WH INTERNUSA ke on site pekerjaan per segment</t>
  </si>
  <si>
    <t>MV-MATERIAL-60-UP</t>
  </si>
  <si>
    <t>Delivery material dalam jarak &gt;60 km dari WH INTERNUSA ke on site pekerjaan per segment</t>
  </si>
  <si>
    <t>PERMIT-HOMEPASS</t>
  </si>
  <si>
    <t>Nilai perizinan yang diberikan berdasarkan jumlah homepass dalam cluster dengan guidelines INTERNUSA yang berlaku</t>
  </si>
  <si>
    <t>lot</t>
  </si>
  <si>
    <t>SURVEY-HOMEPASS</t>
  </si>
  <si>
    <t>Nilai kegiatan survey yang diberikan berdasarkan jumlah homepass dalam cluster dengan guidelines INTERNUSA yang berlaku</t>
  </si>
  <si>
    <t>PRELIMINARY-BCKBN-PEMDA</t>
  </si>
  <si>
    <t>Biaya-biaya yang timbul dalam rangka untuk perijinan, konsumsi, kompensasi dan Supervisi mulai dari LSM, Private Area dan Rumija Pemda melingkupi PU NASIONAL, PU PROVINSI dan PU KABUPATEN/ KOTA dalam dasar pekerjaan segment Backbone</t>
  </si>
  <si>
    <t>PREP-K3PNWT-PRJCT</t>
  </si>
  <si>
    <t>Pengadaan dan Pemasangan papan nama proyek tertutup pada kegiatan lubang galian serta rambu-rambu pengaman/ warning tape dalam lingkup area kerja lubang galian/ rojok per segment per Order</t>
  </si>
  <si>
    <t>TOTAL</t>
  </si>
  <si>
    <t>VOL TANJUNGWANGI</t>
  </si>
  <si>
    <t>VOL HAYAM WURUK</t>
  </si>
  <si>
    <t>VOL PANCAKARYA</t>
  </si>
  <si>
    <t>HARGA MANDOR</t>
  </si>
  <si>
    <t>Jasa pemasangan New Pole 6 Meter 2,5" x 600, Berikut Cat dengan warna identitas Kuning (atas) Biru (Bawah) &amp; Cor Pondasi dengan Kekuatan Tarik 100 Kg + Pemasangan Aksesoris</t>
  </si>
  <si>
    <t>Jasa pemasangan New Pole 7 Meter 600 x 3",200 x 3" x 100 x 2,5" , Berikut Cat dengan warna identitas Kuning (atas) Biru (bawah) + Pemasangan Aksesoris</t>
  </si>
  <si>
    <t>Jasa pemasangan New Pole 7 Meter 300 x 4",200 x 3" x 200 x 2,5" , Berikut Cat dengan warna identitas Kuning (atas) Biru (bawah) &amp; Cor Pondasi dengan Kekuatan Tarik 140 Kg + Pemasangan Aksesoris</t>
  </si>
  <si>
    <t>Jasa pemasangan New Pole Beton 7 Meter, Berikut Cat dengan warna identitas Kuning (atas) Biru (bawah) &amp; Cor Pondasi dengan Kekuatan Tarik 250 Kg + Pemasangan Aksesoris</t>
  </si>
  <si>
    <t>Jasa pemasangan New Pole Beton 9 Meter, Berikut Cat dengan warna identitas Kuning (atas) Biru (bawah) &amp; Cor Pondasi dengan Kekuatan Tarik 250 Kg + Pemasangan Aksesoris</t>
  </si>
  <si>
    <t>NAMA LOP</t>
  </si>
  <si>
    <t>KAB</t>
  </si>
  <si>
    <t>BANYU WANGI</t>
  </si>
  <si>
    <t>JEMBER</t>
  </si>
  <si>
    <t>NILAI SETCO</t>
  </si>
  <si>
    <t>NILAI MANDOR</t>
  </si>
  <si>
    <t xml:space="preserve"> </t>
  </si>
  <si>
    <t>SITUBONDO</t>
  </si>
  <si>
    <t>RAMBIPUJI_TO_PUGER.</t>
  </si>
  <si>
    <t>FIBERISASI FDT-MHTR-BRWJ ( BRAWIJAYA )</t>
  </si>
  <si>
    <t>FIBERISASI FDT-JMR1-PCKY (PANCAKARYA)</t>
  </si>
  <si>
    <t>FIBERISASI FDT-JMR1-HYWK (HAYAM WURUK)</t>
  </si>
  <si>
    <t>FDT-BLSN-TJWI (TANJUNGWANGI)</t>
  </si>
  <si>
    <t>FIBERISASI FDT-ASBG-SUAR (SUMBERANYAR)</t>
  </si>
  <si>
    <t>FIBERISASI FDT-ASBG-SKRJ (SUKOREJO)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</si>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</sst>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164" formatCode="_-[$Rp-421]* #,##0_-;_-[$Rp-421]* \-#,##0_-;_-[$Rp-421]* &quot;-&quot;??_-;_-@"/>
    <numFmt numFmtId="165" formatCode="_(* #,##0_);_(* \(#,##0\);_(* \-??_);_(@_)"/>
    <numFmt numFmtId="166" formatCode="_-* #,##0_-;\-* #,##0_-;_-* &quot;-&quot;??_-;_-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Calibri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Tahoma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81">
    <xf numFmtId="0" fontId="0" fillId="0" borderId="0" xfId="0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 shrinkToFit="1"/>
    </xf>
    <xf numFmtId="3" fontId="7" fillId="3" borderId="1" xfId="0" applyNumberFormat="1" applyFont="1" applyFill="1" applyBorder="1" applyAlignment="1">
      <alignment horizontal="left" vertical="top" wrapText="1"/>
    </xf>
    <xf numFmtId="3" fontId="7" fillId="3" borderId="1" xfId="0" applyNumberFormat="1" applyFont="1" applyFill="1" applyBorder="1" applyAlignment="1">
      <alignment horizontal="center" vertical="center" shrinkToFit="1"/>
    </xf>
    <xf numFmtId="164" fontId="7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shrinkToFit="1"/>
    </xf>
    <xf numFmtId="3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165" fontId="7" fillId="3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 shrinkToFit="1"/>
    </xf>
    <xf numFmtId="3" fontId="8" fillId="3" borderId="1" xfId="0" applyNumberFormat="1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3" fontId="8" fillId="3" borderId="1" xfId="0" applyNumberFormat="1" applyFont="1" applyFill="1" applyBorder="1" applyAlignment="1">
      <alignment horizontal="left" vertical="top" wrapText="1" shrinkToFi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1" xfId="0" applyBorder="1"/>
    <xf numFmtId="0" fontId="6" fillId="2" borderId="5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/>
    </xf>
    <xf numFmtId="49" fontId="7" fillId="0" borderId="2" xfId="0" applyNumberFormat="1" applyFont="1" applyBorder="1" applyAlignment="1">
      <alignment horizontal="left" vertical="top" wrapText="1"/>
    </xf>
    <xf numFmtId="3" fontId="7" fillId="0" borderId="2" xfId="0" applyNumberFormat="1" applyFont="1" applyBorder="1" applyAlignment="1">
      <alignment horizontal="left" vertical="top" wrapText="1"/>
    </xf>
    <xf numFmtId="3" fontId="7" fillId="3" borderId="2" xfId="0" applyNumberFormat="1" applyFont="1" applyFill="1" applyBorder="1" applyAlignment="1">
      <alignment horizontal="left" vertical="top" wrapText="1"/>
    </xf>
    <xf numFmtId="41" fontId="7" fillId="3" borderId="1" xfId="1" applyFont="1" applyFill="1" applyBorder="1" applyAlignment="1"/>
    <xf numFmtId="3" fontId="8" fillId="3" borderId="2" xfId="0" applyNumberFormat="1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3" fontId="8" fillId="3" borderId="2" xfId="0" applyNumberFormat="1" applyFont="1" applyFill="1" applyBorder="1" applyAlignment="1">
      <alignment horizontal="left" vertical="top" wrapText="1" shrinkToFit="1"/>
    </xf>
    <xf numFmtId="42" fontId="0" fillId="0" borderId="1" xfId="2" applyFont="1" applyBorder="1"/>
    <xf numFmtId="42" fontId="11" fillId="3" borderId="1" xfId="2" applyFont="1" applyFill="1" applyBorder="1"/>
    <xf numFmtId="42" fontId="11" fillId="3" borderId="1" xfId="0" applyNumberFormat="1" applyFont="1" applyFill="1" applyBorder="1"/>
    <xf numFmtId="0" fontId="7" fillId="0" borderId="1" xfId="0" applyFont="1" applyBorder="1" applyAlignment="1"/>
    <xf numFmtId="0" fontId="7" fillId="0" borderId="1" xfId="0" applyFont="1" applyBorder="1" applyAlignment="1">
      <alignment wrapText="1"/>
    </xf>
    <xf numFmtId="0" fontId="2" fillId="0" borderId="0" xfId="0" applyFont="1" applyBorder="1"/>
    <xf numFmtId="0" fontId="0" fillId="0" borderId="0" xfId="0" applyBorder="1"/>
    <xf numFmtId="42" fontId="0" fillId="0" borderId="0" xfId="0" applyNumberFormat="1" applyBorder="1"/>
    <xf numFmtId="42" fontId="2" fillId="0" borderId="0" xfId="0" applyNumberFormat="1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right"/>
    </xf>
    <xf numFmtId="164" fontId="5" fillId="3" borderId="7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164" fontId="5" fillId="3" borderId="7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right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77DE-B46C-4F32-98EE-038AE69E1C17}">
  <dimension ref="A3:N115"/>
  <sheetViews>
    <sheetView topLeftCell="D3" zoomScale="70" zoomScaleNormal="70" workbookViewId="0">
      <pane ySplit="3" topLeftCell="A108" activePane="bottomLeft" state="frozen"/>
      <selection activeCell="A3" sqref="A3"/>
      <selection pane="bottomLeft" activeCell="I8" sqref="I8:L114"/>
    </sheetView>
  </sheetViews>
  <sheetFormatPr defaultRowHeight="15" x14ac:dyDescent="0.25"/>
  <cols>
    <col min="1" max="1" width="5.140625" bestFit="1" customWidth="1"/>
    <col min="2" max="2" width="34.5703125" bestFit="1" customWidth="1"/>
    <col min="3" max="3" width="102" style="27" customWidth="1"/>
    <col min="4" max="4" width="15" customWidth="1"/>
    <col min="5" max="5" width="17.140625" bestFit="1" customWidth="1"/>
    <col min="6" max="12" width="21.140625" customWidth="1"/>
    <col min="13" max="13" width="20.7109375" bestFit="1" customWidth="1"/>
    <col min="14" max="14" width="15.42578125" bestFit="1" customWidth="1"/>
  </cols>
  <sheetData>
    <row r="3" spans="1:13" ht="15.75" x14ac:dyDescent="0.25">
      <c r="A3" s="59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ht="30.75" customHeight="1" x14ac:dyDescent="0.25">
      <c r="A4" s="63" t="s">
        <v>1</v>
      </c>
      <c r="B4" s="63" t="s">
        <v>2</v>
      </c>
      <c r="C4" s="65" t="s">
        <v>3</v>
      </c>
      <c r="D4" s="63" t="s">
        <v>4</v>
      </c>
      <c r="E4" s="57" t="s">
        <v>5</v>
      </c>
      <c r="F4" s="78" t="s">
        <v>249</v>
      </c>
      <c r="G4" s="78" t="s">
        <v>248</v>
      </c>
      <c r="H4" s="78" t="s">
        <v>247</v>
      </c>
      <c r="I4" s="78" t="s">
        <v>246</v>
      </c>
      <c r="J4" s="78" t="s">
        <v>245</v>
      </c>
      <c r="K4" s="78" t="s">
        <v>250</v>
      </c>
      <c r="L4" s="78" t="s">
        <v>251</v>
      </c>
      <c r="M4" s="57" t="s">
        <v>227</v>
      </c>
    </row>
    <row r="5" spans="1:13" ht="32.25" customHeight="1" x14ac:dyDescent="0.25">
      <c r="A5" s="64"/>
      <c r="B5" s="64"/>
      <c r="C5" s="66"/>
      <c r="D5" s="64"/>
      <c r="E5" s="64"/>
      <c r="F5" s="79"/>
      <c r="G5" s="79" t="s">
        <v>248</v>
      </c>
      <c r="H5" s="79" t="s">
        <v>247</v>
      </c>
      <c r="I5" s="79" t="s">
        <v>246</v>
      </c>
      <c r="J5" s="79" t="s">
        <v>245</v>
      </c>
      <c r="K5" s="79" t="s">
        <v>250</v>
      </c>
      <c r="L5" s="79" t="s">
        <v>251</v>
      </c>
      <c r="M5" s="58"/>
    </row>
    <row r="6" spans="1:13" ht="15.75" x14ac:dyDescent="0.25">
      <c r="A6" s="61" t="s">
        <v>6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</row>
    <row r="7" spans="1:13" ht="15.75" x14ac:dyDescent="0.25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x14ac:dyDescent="0.25">
      <c r="A8" s="14">
        <v>1</v>
      </c>
      <c r="B8" s="1" t="s">
        <v>7</v>
      </c>
      <c r="C8" s="2" t="s">
        <v>8</v>
      </c>
      <c r="D8" s="3" t="s">
        <v>9</v>
      </c>
      <c r="E8" s="4">
        <v>4200</v>
      </c>
      <c r="F8" s="32">
        <v>900</v>
      </c>
      <c r="G8" s="32">
        <v>4694</v>
      </c>
      <c r="H8" s="32">
        <v>4861</v>
      </c>
      <c r="I8" s="32">
        <v>5360</v>
      </c>
      <c r="J8" s="32"/>
      <c r="K8" s="32">
        <v>4300</v>
      </c>
      <c r="L8" s="32">
        <v>2237</v>
      </c>
      <c r="M8" s="6">
        <f t="shared" ref="M8:M71" si="0">(F8+G8+H8+I8+J8+K8+L8)*E8</f>
        <v>93878400</v>
      </c>
    </row>
    <row r="9" spans="1:13" x14ac:dyDescent="0.25">
      <c r="A9" s="14">
        <v>2</v>
      </c>
      <c r="B9" s="1" t="s">
        <v>10</v>
      </c>
      <c r="C9" s="5" t="s">
        <v>11</v>
      </c>
      <c r="D9" s="3" t="s">
        <v>9</v>
      </c>
      <c r="E9" s="4">
        <v>4200</v>
      </c>
      <c r="F9" s="32">
        <v>3152</v>
      </c>
      <c r="G9" s="32">
        <v>12788</v>
      </c>
      <c r="H9" s="32">
        <v>13354</v>
      </c>
      <c r="I9" s="32">
        <v>10020</v>
      </c>
      <c r="J9" s="32"/>
      <c r="K9" s="32">
        <v>1277</v>
      </c>
      <c r="L9" s="32">
        <v>4632</v>
      </c>
      <c r="M9" s="6">
        <f t="shared" si="0"/>
        <v>189936600</v>
      </c>
    </row>
    <row r="10" spans="1:13" x14ac:dyDescent="0.25">
      <c r="A10" s="14">
        <v>3</v>
      </c>
      <c r="B10" s="1" t="s">
        <v>12</v>
      </c>
      <c r="C10" s="5" t="s">
        <v>13</v>
      </c>
      <c r="D10" s="3" t="s">
        <v>9</v>
      </c>
      <c r="E10" s="4">
        <v>4200</v>
      </c>
      <c r="F10" s="32"/>
      <c r="G10" s="32">
        <v>5348</v>
      </c>
      <c r="H10" s="32">
        <v>2706</v>
      </c>
      <c r="I10" s="32">
        <v>3209</v>
      </c>
      <c r="J10" s="32"/>
      <c r="K10" s="32"/>
      <c r="L10" s="32"/>
      <c r="M10" s="6">
        <f t="shared" si="0"/>
        <v>47304600</v>
      </c>
    </row>
    <row r="11" spans="1:13" x14ac:dyDescent="0.25">
      <c r="A11" s="14">
        <v>4</v>
      </c>
      <c r="B11" s="1" t="s">
        <v>14</v>
      </c>
      <c r="C11" s="5" t="s">
        <v>15</v>
      </c>
      <c r="D11" s="3" t="s">
        <v>9</v>
      </c>
      <c r="E11" s="4">
        <v>4200</v>
      </c>
      <c r="F11" s="32"/>
      <c r="G11" s="32"/>
      <c r="H11" s="32"/>
      <c r="I11" s="32">
        <v>2292</v>
      </c>
      <c r="J11" s="32">
        <v>17738</v>
      </c>
      <c r="K11" s="32"/>
      <c r="L11" s="32"/>
      <c r="M11" s="6">
        <f t="shared" si="0"/>
        <v>84126000</v>
      </c>
    </row>
    <row r="12" spans="1:13" x14ac:dyDescent="0.25">
      <c r="A12" s="14">
        <v>5</v>
      </c>
      <c r="B12" s="1" t="s">
        <v>16</v>
      </c>
      <c r="C12" s="5" t="s">
        <v>17</v>
      </c>
      <c r="D12" s="3" t="s">
        <v>9</v>
      </c>
      <c r="E12" s="4">
        <v>3800</v>
      </c>
      <c r="F12" s="32">
        <v>3532</v>
      </c>
      <c r="G12" s="32"/>
      <c r="H12" s="32"/>
      <c r="I12" s="32"/>
      <c r="J12" s="32"/>
      <c r="K12" s="32"/>
      <c r="L12" s="32"/>
      <c r="M12" s="6">
        <f t="shared" si="0"/>
        <v>13421600</v>
      </c>
    </row>
    <row r="13" spans="1:13" x14ac:dyDescent="0.25">
      <c r="A13" s="14">
        <v>6</v>
      </c>
      <c r="B13" s="1" t="s">
        <v>18</v>
      </c>
      <c r="C13" s="5" t="s">
        <v>19</v>
      </c>
      <c r="D13" s="3" t="s">
        <v>9</v>
      </c>
      <c r="E13" s="4">
        <v>3800</v>
      </c>
      <c r="F13" s="32"/>
      <c r="G13" s="32"/>
      <c r="H13" s="32"/>
      <c r="I13" s="32"/>
      <c r="J13" s="32"/>
      <c r="K13" s="32"/>
      <c r="L13" s="32"/>
      <c r="M13" s="6">
        <f t="shared" si="0"/>
        <v>0</v>
      </c>
    </row>
    <row r="14" spans="1:13" x14ac:dyDescent="0.25">
      <c r="A14" s="14">
        <v>7</v>
      </c>
      <c r="B14" s="1" t="s">
        <v>20</v>
      </c>
      <c r="C14" s="2" t="s">
        <v>21</v>
      </c>
      <c r="D14" s="3" t="s">
        <v>22</v>
      </c>
      <c r="E14" s="6">
        <v>30700</v>
      </c>
      <c r="F14" s="32"/>
      <c r="G14" s="32"/>
      <c r="H14" s="32"/>
      <c r="I14" s="32"/>
      <c r="J14" s="32"/>
      <c r="K14" s="32"/>
      <c r="L14" s="32"/>
      <c r="M14" s="6">
        <f t="shared" si="0"/>
        <v>0</v>
      </c>
    </row>
    <row r="15" spans="1:13" x14ac:dyDescent="0.25">
      <c r="A15" s="14">
        <v>8</v>
      </c>
      <c r="B15" s="1" t="s">
        <v>23</v>
      </c>
      <c r="C15" s="2" t="s">
        <v>24</v>
      </c>
      <c r="D15" s="3" t="s">
        <v>22</v>
      </c>
      <c r="E15" s="6">
        <v>30700</v>
      </c>
      <c r="F15" s="32"/>
      <c r="G15" s="32"/>
      <c r="H15" s="32"/>
      <c r="I15" s="32">
        <v>2</v>
      </c>
      <c r="J15" s="32"/>
      <c r="K15" s="32"/>
      <c r="L15" s="32">
        <v>2</v>
      </c>
      <c r="M15" s="6">
        <f t="shared" si="0"/>
        <v>122800</v>
      </c>
    </row>
    <row r="16" spans="1:13" x14ac:dyDescent="0.25">
      <c r="A16" s="14">
        <v>9</v>
      </c>
      <c r="B16" s="1" t="s">
        <v>25</v>
      </c>
      <c r="C16" s="2" t="s">
        <v>26</v>
      </c>
      <c r="D16" s="3" t="s">
        <v>22</v>
      </c>
      <c r="E16" s="6">
        <v>49000</v>
      </c>
      <c r="F16" s="32"/>
      <c r="G16" s="32">
        <v>2</v>
      </c>
      <c r="H16" s="32">
        <v>2</v>
      </c>
      <c r="I16" s="32">
        <v>2</v>
      </c>
      <c r="J16" s="32"/>
      <c r="K16" s="32">
        <v>1</v>
      </c>
      <c r="L16" s="32"/>
      <c r="M16" s="6">
        <f t="shared" si="0"/>
        <v>343000</v>
      </c>
    </row>
    <row r="17" spans="1:13" x14ac:dyDescent="0.25">
      <c r="A17" s="14">
        <v>10</v>
      </c>
      <c r="B17" s="1" t="s">
        <v>27</v>
      </c>
      <c r="C17" s="2" t="s">
        <v>28</v>
      </c>
      <c r="D17" s="3" t="s">
        <v>22</v>
      </c>
      <c r="E17" s="6">
        <v>49000</v>
      </c>
      <c r="F17" s="32"/>
      <c r="G17" s="32">
        <v>1</v>
      </c>
      <c r="H17" s="32"/>
      <c r="I17" s="32">
        <v>1</v>
      </c>
      <c r="J17" s="32">
        <v>6</v>
      </c>
      <c r="K17" s="32"/>
      <c r="L17" s="32"/>
      <c r="M17" s="6">
        <f t="shared" si="0"/>
        <v>392000</v>
      </c>
    </row>
    <row r="18" spans="1:13" x14ac:dyDescent="0.25">
      <c r="A18" s="14">
        <v>11</v>
      </c>
      <c r="B18" s="1" t="s">
        <v>29</v>
      </c>
      <c r="C18" s="2" t="s">
        <v>30</v>
      </c>
      <c r="D18" s="3" t="s">
        <v>22</v>
      </c>
      <c r="E18" s="6">
        <v>52500</v>
      </c>
      <c r="F18" s="32">
        <v>1</v>
      </c>
      <c r="G18" s="32"/>
      <c r="H18" s="32"/>
      <c r="I18" s="32"/>
      <c r="J18" s="32"/>
      <c r="K18" s="32"/>
      <c r="L18" s="32"/>
      <c r="M18" s="6">
        <f t="shared" si="0"/>
        <v>52500</v>
      </c>
    </row>
    <row r="19" spans="1:13" x14ac:dyDescent="0.25">
      <c r="A19" s="14">
        <v>12</v>
      </c>
      <c r="B19" s="1" t="s">
        <v>31</v>
      </c>
      <c r="C19" s="2" t="s">
        <v>32</v>
      </c>
      <c r="D19" s="3" t="s">
        <v>22</v>
      </c>
      <c r="E19" s="6">
        <v>57000</v>
      </c>
      <c r="F19" s="32"/>
      <c r="G19" s="32"/>
      <c r="H19" s="32"/>
      <c r="I19" s="32"/>
      <c r="J19" s="32"/>
      <c r="K19" s="32"/>
      <c r="L19" s="32"/>
      <c r="M19" s="6">
        <f t="shared" si="0"/>
        <v>0</v>
      </c>
    </row>
    <row r="20" spans="1:13" ht="30" x14ac:dyDescent="0.25">
      <c r="A20" s="14">
        <v>13</v>
      </c>
      <c r="B20" s="1" t="s">
        <v>33</v>
      </c>
      <c r="C20" s="7" t="s">
        <v>34</v>
      </c>
      <c r="D20" s="3" t="s">
        <v>22</v>
      </c>
      <c r="E20" s="6">
        <v>31000</v>
      </c>
      <c r="F20" s="32"/>
      <c r="G20" s="32"/>
      <c r="H20" s="32"/>
      <c r="I20" s="32"/>
      <c r="J20" s="32"/>
      <c r="K20" s="32"/>
      <c r="L20" s="32"/>
      <c r="M20" s="6">
        <f t="shared" si="0"/>
        <v>0</v>
      </c>
    </row>
    <row r="21" spans="1:13" ht="30" x14ac:dyDescent="0.25">
      <c r="A21" s="14">
        <v>14</v>
      </c>
      <c r="B21" s="1" t="s">
        <v>35</v>
      </c>
      <c r="C21" s="7" t="s">
        <v>34</v>
      </c>
      <c r="D21" s="3" t="s">
        <v>22</v>
      </c>
      <c r="E21" s="6">
        <v>31000</v>
      </c>
      <c r="F21" s="32"/>
      <c r="G21" s="32"/>
      <c r="H21" s="32"/>
      <c r="I21" s="32"/>
      <c r="J21" s="32"/>
      <c r="K21" s="32"/>
      <c r="L21" s="32"/>
      <c r="M21" s="6">
        <f t="shared" si="0"/>
        <v>0</v>
      </c>
    </row>
    <row r="22" spans="1:13" ht="30" x14ac:dyDescent="0.25">
      <c r="A22" s="14">
        <v>15</v>
      </c>
      <c r="B22" s="1" t="s">
        <v>36</v>
      </c>
      <c r="C22" s="7" t="s">
        <v>34</v>
      </c>
      <c r="D22" s="3" t="s">
        <v>22</v>
      </c>
      <c r="E22" s="6">
        <v>45000</v>
      </c>
      <c r="F22" s="32"/>
      <c r="G22" s="32"/>
      <c r="H22" s="32"/>
      <c r="I22" s="32"/>
      <c r="J22" s="32"/>
      <c r="K22" s="32"/>
      <c r="L22" s="32"/>
      <c r="M22" s="6">
        <f t="shared" si="0"/>
        <v>0</v>
      </c>
    </row>
    <row r="23" spans="1:13" ht="30" x14ac:dyDescent="0.25">
      <c r="A23" s="14">
        <v>16</v>
      </c>
      <c r="B23" s="1" t="s">
        <v>37</v>
      </c>
      <c r="C23" s="7" t="s">
        <v>38</v>
      </c>
      <c r="D23" s="3" t="s">
        <v>22</v>
      </c>
      <c r="E23" s="6">
        <v>61000</v>
      </c>
      <c r="F23" s="32"/>
      <c r="G23" s="32"/>
      <c r="H23" s="32"/>
      <c r="I23" s="32"/>
      <c r="J23" s="32"/>
      <c r="K23" s="32"/>
      <c r="L23" s="32"/>
      <c r="M23" s="6">
        <f t="shared" si="0"/>
        <v>0</v>
      </c>
    </row>
    <row r="24" spans="1:13" ht="30" x14ac:dyDescent="0.25">
      <c r="A24" s="14">
        <v>17</v>
      </c>
      <c r="B24" s="1" t="s">
        <v>39</v>
      </c>
      <c r="C24" s="7" t="s">
        <v>40</v>
      </c>
      <c r="D24" s="3" t="s">
        <v>22</v>
      </c>
      <c r="E24" s="6">
        <v>61000</v>
      </c>
      <c r="F24" s="32"/>
      <c r="G24" s="32"/>
      <c r="H24" s="32"/>
      <c r="I24" s="32"/>
      <c r="J24" s="32"/>
      <c r="K24" s="32"/>
      <c r="L24" s="32"/>
      <c r="M24" s="6">
        <f t="shared" si="0"/>
        <v>0</v>
      </c>
    </row>
    <row r="25" spans="1:13" ht="30" x14ac:dyDescent="0.25">
      <c r="A25" s="14">
        <v>18</v>
      </c>
      <c r="B25" s="1" t="s">
        <v>41</v>
      </c>
      <c r="C25" s="7" t="s">
        <v>42</v>
      </c>
      <c r="D25" s="3" t="s">
        <v>22</v>
      </c>
      <c r="E25" s="6">
        <v>93000</v>
      </c>
      <c r="F25" s="32"/>
      <c r="G25" s="32"/>
      <c r="H25" s="32"/>
      <c r="I25" s="32"/>
      <c r="J25" s="32"/>
      <c r="K25" s="32"/>
      <c r="L25" s="32"/>
      <c r="M25" s="6">
        <f t="shared" si="0"/>
        <v>0</v>
      </c>
    </row>
    <row r="26" spans="1:13" ht="30" x14ac:dyDescent="0.25">
      <c r="A26" s="14">
        <v>19</v>
      </c>
      <c r="B26" s="1" t="s">
        <v>43</v>
      </c>
      <c r="C26" s="7" t="s">
        <v>44</v>
      </c>
      <c r="D26" s="3" t="s">
        <v>22</v>
      </c>
      <c r="E26" s="6">
        <v>100000</v>
      </c>
      <c r="F26" s="32"/>
      <c r="G26" s="32"/>
      <c r="H26" s="32"/>
      <c r="I26" s="32"/>
      <c r="J26" s="32"/>
      <c r="K26" s="32"/>
      <c r="L26" s="32"/>
      <c r="M26" s="6">
        <f t="shared" si="0"/>
        <v>0</v>
      </c>
    </row>
    <row r="27" spans="1:13" ht="30" x14ac:dyDescent="0.25">
      <c r="A27" s="14">
        <v>20</v>
      </c>
      <c r="B27" s="1" t="s">
        <v>45</v>
      </c>
      <c r="C27" s="7" t="s">
        <v>46</v>
      </c>
      <c r="D27" s="3" t="s">
        <v>22</v>
      </c>
      <c r="E27" s="6">
        <v>180000</v>
      </c>
      <c r="F27" s="32"/>
      <c r="G27" s="32"/>
      <c r="H27" s="32"/>
      <c r="I27" s="32"/>
      <c r="J27" s="32"/>
      <c r="K27" s="32"/>
      <c r="L27" s="32"/>
      <c r="M27" s="6">
        <f t="shared" si="0"/>
        <v>0</v>
      </c>
    </row>
    <row r="28" spans="1:13" x14ac:dyDescent="0.25">
      <c r="A28" s="23">
        <v>21</v>
      </c>
      <c r="B28" s="8" t="s">
        <v>47</v>
      </c>
      <c r="C28" s="9" t="s">
        <v>48</v>
      </c>
      <c r="D28" s="10" t="s">
        <v>22</v>
      </c>
      <c r="E28" s="11">
        <v>30575</v>
      </c>
      <c r="F28" s="32"/>
      <c r="G28" s="32"/>
      <c r="H28" s="32"/>
      <c r="I28" s="32"/>
      <c r="J28" s="32"/>
      <c r="K28" s="32"/>
      <c r="L28" s="32"/>
      <c r="M28" s="6">
        <f t="shared" si="0"/>
        <v>0</v>
      </c>
    </row>
    <row r="29" spans="1:13" x14ac:dyDescent="0.25">
      <c r="A29" s="23">
        <v>22</v>
      </c>
      <c r="B29" s="8" t="s">
        <v>49</v>
      </c>
      <c r="C29" s="9" t="s">
        <v>50</v>
      </c>
      <c r="D29" s="10" t="s">
        <v>22</v>
      </c>
      <c r="E29" s="11">
        <v>30575</v>
      </c>
      <c r="F29" s="32">
        <f>F33/4</f>
        <v>8</v>
      </c>
      <c r="G29" s="32">
        <v>31</v>
      </c>
      <c r="H29" s="32">
        <f>H33/4</f>
        <v>20</v>
      </c>
      <c r="I29" s="32">
        <f t="shared" ref="G29:L29" si="1">I33/4</f>
        <v>28</v>
      </c>
      <c r="J29" s="32"/>
      <c r="K29" s="32">
        <f t="shared" si="1"/>
        <v>10</v>
      </c>
      <c r="L29" s="32">
        <v>25</v>
      </c>
      <c r="M29" s="6">
        <f t="shared" si="0"/>
        <v>3730150</v>
      </c>
    </row>
    <row r="30" spans="1:13" x14ac:dyDescent="0.25">
      <c r="A30" s="23">
        <v>23</v>
      </c>
      <c r="B30" s="8" t="s">
        <v>51</v>
      </c>
      <c r="C30" s="9" t="s">
        <v>52</v>
      </c>
      <c r="D30" s="10" t="s">
        <v>22</v>
      </c>
      <c r="E30" s="11">
        <v>30575</v>
      </c>
      <c r="F30" s="32"/>
      <c r="G30" s="32"/>
      <c r="H30" s="32"/>
      <c r="I30" s="32"/>
      <c r="J30" s="32"/>
      <c r="K30" s="32"/>
      <c r="L30" s="32"/>
      <c r="M30" s="6">
        <f t="shared" si="0"/>
        <v>0</v>
      </c>
    </row>
    <row r="31" spans="1:13" x14ac:dyDescent="0.25">
      <c r="A31" s="23">
        <v>24</v>
      </c>
      <c r="B31" s="8" t="s">
        <v>53</v>
      </c>
      <c r="C31" s="9" t="s">
        <v>54</v>
      </c>
      <c r="D31" s="10" t="s">
        <v>22</v>
      </c>
      <c r="E31" s="11">
        <v>30575</v>
      </c>
      <c r="F31" s="32">
        <f>F33</f>
        <v>32</v>
      </c>
      <c r="G31" s="32">
        <f t="shared" ref="G31:L31" si="2">G33</f>
        <v>121</v>
      </c>
      <c r="H31" s="32">
        <f t="shared" si="2"/>
        <v>80</v>
      </c>
      <c r="I31" s="32">
        <f t="shared" si="2"/>
        <v>112</v>
      </c>
      <c r="J31" s="32"/>
      <c r="K31" s="32">
        <f t="shared" si="2"/>
        <v>40</v>
      </c>
      <c r="L31" s="32">
        <f t="shared" si="2"/>
        <v>99</v>
      </c>
      <c r="M31" s="6">
        <f t="shared" si="0"/>
        <v>14798300</v>
      </c>
    </row>
    <row r="32" spans="1:13" ht="30" x14ac:dyDescent="0.25">
      <c r="A32" s="14">
        <v>25</v>
      </c>
      <c r="B32" s="1" t="s">
        <v>55</v>
      </c>
      <c r="C32" s="2" t="s">
        <v>56</v>
      </c>
      <c r="D32" s="3" t="s">
        <v>22</v>
      </c>
      <c r="E32" s="6">
        <v>100000</v>
      </c>
      <c r="F32" s="32"/>
      <c r="G32" s="32"/>
      <c r="H32" s="32"/>
      <c r="I32" s="32"/>
      <c r="J32" s="32"/>
      <c r="K32" s="32"/>
      <c r="L32" s="32"/>
      <c r="M32" s="6">
        <f t="shared" si="0"/>
        <v>0</v>
      </c>
    </row>
    <row r="33" spans="1:13" ht="30" x14ac:dyDescent="0.25">
      <c r="A33" s="14">
        <v>26</v>
      </c>
      <c r="B33" s="1" t="s">
        <v>57</v>
      </c>
      <c r="C33" s="2" t="s">
        <v>58</v>
      </c>
      <c r="D33" s="3" t="s">
        <v>22</v>
      </c>
      <c r="E33" s="6">
        <v>100000</v>
      </c>
      <c r="F33" s="32">
        <v>32</v>
      </c>
      <c r="G33" s="32">
        <v>121</v>
      </c>
      <c r="H33" s="32">
        <v>80</v>
      </c>
      <c r="I33" s="32">
        <v>112</v>
      </c>
      <c r="J33" s="32"/>
      <c r="K33" s="32">
        <v>40</v>
      </c>
      <c r="L33" s="32">
        <v>99</v>
      </c>
      <c r="M33" s="6">
        <f t="shared" si="0"/>
        <v>48400000</v>
      </c>
    </row>
    <row r="34" spans="1:13" ht="30" x14ac:dyDescent="0.25">
      <c r="A34" s="14">
        <v>27</v>
      </c>
      <c r="B34" s="12" t="s">
        <v>59</v>
      </c>
      <c r="C34" s="7" t="s">
        <v>60</v>
      </c>
      <c r="D34" s="13" t="s">
        <v>22</v>
      </c>
      <c r="E34" s="6">
        <v>80000</v>
      </c>
      <c r="F34" s="32"/>
      <c r="G34" s="32"/>
      <c r="H34" s="32"/>
      <c r="I34" s="32"/>
      <c r="J34" s="32"/>
      <c r="K34" s="32"/>
      <c r="L34" s="32"/>
      <c r="M34" s="6">
        <f t="shared" si="0"/>
        <v>0</v>
      </c>
    </row>
    <row r="35" spans="1:13" ht="30" x14ac:dyDescent="0.25">
      <c r="A35" s="14">
        <v>28</v>
      </c>
      <c r="B35" s="12" t="s">
        <v>61</v>
      </c>
      <c r="C35" s="7" t="s">
        <v>62</v>
      </c>
      <c r="D35" s="13" t="s">
        <v>22</v>
      </c>
      <c r="E35" s="6">
        <v>150000</v>
      </c>
      <c r="F35" s="32"/>
      <c r="G35" s="32"/>
      <c r="H35" s="32"/>
      <c r="I35" s="32"/>
      <c r="J35" s="32"/>
      <c r="K35" s="32"/>
      <c r="L35" s="32"/>
      <c r="M35" s="6">
        <f t="shared" si="0"/>
        <v>0</v>
      </c>
    </row>
    <row r="36" spans="1:13" ht="30" x14ac:dyDescent="0.25">
      <c r="A36" s="14">
        <v>29</v>
      </c>
      <c r="B36" s="12" t="s">
        <v>63</v>
      </c>
      <c r="C36" s="7" t="s">
        <v>64</v>
      </c>
      <c r="D36" s="13" t="s">
        <v>22</v>
      </c>
      <c r="E36" s="6">
        <v>150000</v>
      </c>
      <c r="F36" s="32"/>
      <c r="G36" s="32"/>
      <c r="H36" s="32"/>
      <c r="I36" s="32"/>
      <c r="J36" s="32"/>
      <c r="K36" s="32"/>
      <c r="L36" s="32"/>
      <c r="M36" s="6">
        <f t="shared" si="0"/>
        <v>0</v>
      </c>
    </row>
    <row r="37" spans="1:13" ht="30" x14ac:dyDescent="0.25">
      <c r="A37" s="14">
        <v>30</v>
      </c>
      <c r="B37" s="1" t="s">
        <v>65</v>
      </c>
      <c r="C37" s="2" t="s">
        <v>66</v>
      </c>
      <c r="D37" s="3" t="s">
        <v>22</v>
      </c>
      <c r="E37" s="6">
        <v>850000</v>
      </c>
      <c r="F37" s="32"/>
      <c r="G37" s="32"/>
      <c r="H37" s="32"/>
      <c r="I37" s="32"/>
      <c r="J37" s="32"/>
      <c r="K37" s="32"/>
      <c r="L37" s="32"/>
      <c r="M37" s="6">
        <f t="shared" si="0"/>
        <v>0</v>
      </c>
    </row>
    <row r="38" spans="1:13" ht="30" x14ac:dyDescent="0.25">
      <c r="A38" s="14">
        <v>31</v>
      </c>
      <c r="B38" s="1" t="s">
        <v>67</v>
      </c>
      <c r="C38" s="2" t="s">
        <v>68</v>
      </c>
      <c r="D38" s="3" t="s">
        <v>22</v>
      </c>
      <c r="E38" s="6">
        <v>2700000</v>
      </c>
      <c r="F38" s="32"/>
      <c r="G38" s="32"/>
      <c r="H38" s="32"/>
      <c r="I38" s="32"/>
      <c r="J38" s="32"/>
      <c r="K38" s="32"/>
      <c r="L38" s="32"/>
      <c r="M38" s="6">
        <f t="shared" si="0"/>
        <v>0</v>
      </c>
    </row>
    <row r="39" spans="1:13" ht="30" x14ac:dyDescent="0.25">
      <c r="A39" s="14">
        <v>32</v>
      </c>
      <c r="B39" s="1" t="s">
        <v>69</v>
      </c>
      <c r="C39" s="2" t="s">
        <v>70</v>
      </c>
      <c r="D39" s="3" t="s">
        <v>22</v>
      </c>
      <c r="E39" s="6">
        <v>4700000</v>
      </c>
      <c r="F39" s="32"/>
      <c r="G39" s="32"/>
      <c r="H39" s="32"/>
      <c r="I39" s="32"/>
      <c r="J39" s="32"/>
      <c r="K39" s="32"/>
      <c r="L39" s="32"/>
      <c r="M39" s="6">
        <f t="shared" si="0"/>
        <v>0</v>
      </c>
    </row>
    <row r="40" spans="1:13" ht="30" x14ac:dyDescent="0.25">
      <c r="A40" s="14">
        <v>33</v>
      </c>
      <c r="B40" s="1" t="s">
        <v>71</v>
      </c>
      <c r="C40" s="2" t="s">
        <v>72</v>
      </c>
      <c r="D40" s="3" t="s">
        <v>22</v>
      </c>
      <c r="E40" s="6">
        <v>5100000</v>
      </c>
      <c r="F40" s="32">
        <v>1</v>
      </c>
      <c r="G40" s="32"/>
      <c r="H40" s="32"/>
      <c r="I40" s="32"/>
      <c r="J40" s="32"/>
      <c r="K40" s="32">
        <v>1</v>
      </c>
      <c r="L40" s="32"/>
      <c r="M40" s="6">
        <f t="shared" si="0"/>
        <v>10200000</v>
      </c>
    </row>
    <row r="41" spans="1:13" ht="30" x14ac:dyDescent="0.25">
      <c r="A41" s="14">
        <v>34</v>
      </c>
      <c r="B41" s="1" t="s">
        <v>73</v>
      </c>
      <c r="C41" s="2" t="s">
        <v>74</v>
      </c>
      <c r="D41" s="3" t="s">
        <v>22</v>
      </c>
      <c r="E41" s="6">
        <v>5300000</v>
      </c>
      <c r="F41" s="32"/>
      <c r="G41" s="32">
        <v>1</v>
      </c>
      <c r="H41" s="32">
        <v>1</v>
      </c>
      <c r="I41" s="32">
        <v>1</v>
      </c>
      <c r="J41" s="32"/>
      <c r="K41" s="32"/>
      <c r="L41" s="32">
        <v>1</v>
      </c>
      <c r="M41" s="6">
        <f t="shared" si="0"/>
        <v>21200000</v>
      </c>
    </row>
    <row r="42" spans="1:13" ht="30" x14ac:dyDescent="0.25">
      <c r="A42" s="14">
        <v>35</v>
      </c>
      <c r="B42" s="1" t="s">
        <v>75</v>
      </c>
      <c r="C42" s="2" t="s">
        <v>76</v>
      </c>
      <c r="D42" s="3" t="s">
        <v>22</v>
      </c>
      <c r="E42" s="6">
        <v>175000</v>
      </c>
      <c r="F42" s="32"/>
      <c r="G42" s="32"/>
      <c r="H42" s="32"/>
      <c r="I42" s="32"/>
      <c r="J42" s="32"/>
      <c r="K42" s="32"/>
      <c r="L42" s="32"/>
      <c r="M42" s="6">
        <f t="shared" si="0"/>
        <v>0</v>
      </c>
    </row>
    <row r="43" spans="1:13" ht="30" x14ac:dyDescent="0.25">
      <c r="A43" s="14">
        <v>36</v>
      </c>
      <c r="B43" s="1" t="s">
        <v>77</v>
      </c>
      <c r="C43" s="2" t="s">
        <v>78</v>
      </c>
      <c r="D43" s="3" t="s">
        <v>22</v>
      </c>
      <c r="E43" s="6">
        <v>250000</v>
      </c>
      <c r="F43" s="32"/>
      <c r="G43" s="32"/>
      <c r="H43" s="32"/>
      <c r="I43" s="32"/>
      <c r="J43" s="32"/>
      <c r="K43" s="32"/>
      <c r="L43" s="32"/>
      <c r="M43" s="6">
        <f t="shared" si="0"/>
        <v>0</v>
      </c>
    </row>
    <row r="44" spans="1:13" ht="30" x14ac:dyDescent="0.25">
      <c r="A44" s="14">
        <v>37</v>
      </c>
      <c r="B44" s="1" t="s">
        <v>79</v>
      </c>
      <c r="C44" s="2" t="s">
        <v>80</v>
      </c>
      <c r="D44" s="3" t="s">
        <v>22</v>
      </c>
      <c r="E44" s="6">
        <v>250000</v>
      </c>
      <c r="F44" s="32">
        <v>81</v>
      </c>
      <c r="G44" s="32">
        <v>458</v>
      </c>
      <c r="H44" s="33">
        <f>(H8+H9+H10)/50</f>
        <v>418.42</v>
      </c>
      <c r="I44" s="33">
        <f t="shared" ref="I44:L44" si="3">(I8+I9+I10)/50</f>
        <v>371.78</v>
      </c>
      <c r="J44" s="33">
        <v>13</v>
      </c>
      <c r="K44" s="33">
        <f t="shared" si="3"/>
        <v>111.54</v>
      </c>
      <c r="L44" s="33">
        <f t="shared" si="3"/>
        <v>137.38</v>
      </c>
      <c r="M44" s="6">
        <f t="shared" si="0"/>
        <v>397780000</v>
      </c>
    </row>
    <row r="45" spans="1:13" ht="30" x14ac:dyDescent="0.25">
      <c r="A45" s="14">
        <v>38</v>
      </c>
      <c r="B45" s="1" t="s">
        <v>81</v>
      </c>
      <c r="C45" s="2" t="s">
        <v>82</v>
      </c>
      <c r="D45" s="3" t="s">
        <v>22</v>
      </c>
      <c r="E45" s="6">
        <v>290000</v>
      </c>
      <c r="F45" s="32"/>
      <c r="G45" s="32"/>
      <c r="H45" s="32"/>
      <c r="I45" s="32"/>
      <c r="J45" s="32"/>
      <c r="K45" s="32"/>
      <c r="L45" s="32"/>
      <c r="M45" s="6">
        <f t="shared" si="0"/>
        <v>0</v>
      </c>
    </row>
    <row r="46" spans="1:13" ht="30" x14ac:dyDescent="0.25">
      <c r="A46" s="14">
        <v>39</v>
      </c>
      <c r="B46" s="1" t="s">
        <v>83</v>
      </c>
      <c r="C46" s="2" t="s">
        <v>84</v>
      </c>
      <c r="D46" s="3" t="s">
        <v>22</v>
      </c>
      <c r="E46" s="6">
        <v>385000</v>
      </c>
      <c r="F46" s="32"/>
      <c r="G46" s="32"/>
      <c r="H46" s="32"/>
      <c r="I46" s="32"/>
      <c r="J46" s="32"/>
      <c r="K46" s="32"/>
      <c r="L46" s="32"/>
      <c r="M46" s="6">
        <f t="shared" si="0"/>
        <v>0</v>
      </c>
    </row>
    <row r="47" spans="1:13" ht="30" x14ac:dyDescent="0.25">
      <c r="A47" s="14">
        <v>40</v>
      </c>
      <c r="B47" s="1" t="s">
        <v>85</v>
      </c>
      <c r="C47" s="2" t="s">
        <v>86</v>
      </c>
      <c r="D47" s="3" t="s">
        <v>22</v>
      </c>
      <c r="E47" s="6">
        <v>440000</v>
      </c>
      <c r="F47" s="32"/>
      <c r="G47" s="32"/>
      <c r="H47" s="32"/>
      <c r="I47" s="32"/>
      <c r="J47" s="32"/>
      <c r="K47" s="32"/>
      <c r="L47" s="32"/>
      <c r="M47" s="6">
        <f t="shared" si="0"/>
        <v>0</v>
      </c>
    </row>
    <row r="48" spans="1:13" x14ac:dyDescent="0.25">
      <c r="A48" s="14">
        <v>41</v>
      </c>
      <c r="B48" s="1" t="s">
        <v>87</v>
      </c>
      <c r="C48" s="2" t="s">
        <v>88</v>
      </c>
      <c r="D48" s="3" t="s">
        <v>9</v>
      </c>
      <c r="E48" s="6">
        <v>4000</v>
      </c>
      <c r="F48" s="32"/>
      <c r="G48" s="32"/>
      <c r="H48" s="32"/>
      <c r="I48" s="32"/>
      <c r="J48" s="32"/>
      <c r="K48" s="32"/>
      <c r="L48" s="32"/>
      <c r="M48" s="6">
        <f t="shared" si="0"/>
        <v>0</v>
      </c>
    </row>
    <row r="49" spans="1:13" x14ac:dyDescent="0.25">
      <c r="A49" s="14">
        <v>42</v>
      </c>
      <c r="B49" s="1" t="s">
        <v>89</v>
      </c>
      <c r="C49" s="2" t="s">
        <v>90</v>
      </c>
      <c r="D49" s="3" t="s">
        <v>9</v>
      </c>
      <c r="E49" s="6">
        <v>4000</v>
      </c>
      <c r="F49" s="32"/>
      <c r="G49" s="32"/>
      <c r="H49" s="32"/>
      <c r="I49" s="32"/>
      <c r="J49" s="32"/>
      <c r="K49" s="32"/>
      <c r="L49" s="32"/>
      <c r="M49" s="6">
        <f t="shared" si="0"/>
        <v>0</v>
      </c>
    </row>
    <row r="50" spans="1:13" ht="30" x14ac:dyDescent="0.25">
      <c r="A50" s="14">
        <v>43</v>
      </c>
      <c r="B50" s="1" t="s">
        <v>91</v>
      </c>
      <c r="C50" s="2" t="s">
        <v>92</v>
      </c>
      <c r="D50" s="3" t="s">
        <v>9</v>
      </c>
      <c r="E50" s="6">
        <v>1700</v>
      </c>
      <c r="F50" s="32">
        <v>3200</v>
      </c>
      <c r="G50" s="32"/>
      <c r="H50" s="32"/>
      <c r="I50" s="32"/>
      <c r="J50" s="32">
        <f>J11</f>
        <v>17738</v>
      </c>
      <c r="K50" s="32"/>
      <c r="L50" s="32"/>
      <c r="M50" s="6">
        <f t="shared" si="0"/>
        <v>35594600</v>
      </c>
    </row>
    <row r="51" spans="1:13" x14ac:dyDescent="0.25">
      <c r="A51" s="14">
        <v>44</v>
      </c>
      <c r="B51" s="1" t="s">
        <v>93</v>
      </c>
      <c r="C51" s="2" t="s">
        <v>94</v>
      </c>
      <c r="D51" s="14" t="s">
        <v>22</v>
      </c>
      <c r="E51" s="6">
        <v>61000</v>
      </c>
      <c r="F51" s="32"/>
      <c r="G51" s="32"/>
      <c r="H51" s="32"/>
      <c r="I51" s="32"/>
      <c r="J51" s="32"/>
      <c r="K51" s="32"/>
      <c r="L51" s="32"/>
      <c r="M51" s="6">
        <f t="shared" si="0"/>
        <v>0</v>
      </c>
    </row>
    <row r="52" spans="1:13" x14ac:dyDescent="0.25">
      <c r="A52" s="14">
        <v>45</v>
      </c>
      <c r="B52" s="1" t="s">
        <v>95</v>
      </c>
      <c r="C52" s="7" t="s">
        <v>96</v>
      </c>
      <c r="D52" s="14" t="s">
        <v>22</v>
      </c>
      <c r="E52" s="6">
        <v>450000</v>
      </c>
      <c r="F52" s="32">
        <v>1</v>
      </c>
      <c r="G52" s="32">
        <v>1</v>
      </c>
      <c r="H52" s="32">
        <v>1</v>
      </c>
      <c r="I52" s="32">
        <v>1</v>
      </c>
      <c r="J52" s="32"/>
      <c r="K52" s="32">
        <v>1</v>
      </c>
      <c r="L52" s="32">
        <v>1</v>
      </c>
      <c r="M52" s="6">
        <f t="shared" si="0"/>
        <v>2700000</v>
      </c>
    </row>
    <row r="53" spans="1:13" x14ac:dyDescent="0.25">
      <c r="A53" s="14">
        <v>46</v>
      </c>
      <c r="B53" s="1" t="s">
        <v>97</v>
      </c>
      <c r="C53" s="7" t="s">
        <v>98</v>
      </c>
      <c r="D53" s="14" t="s">
        <v>22</v>
      </c>
      <c r="E53" s="6">
        <v>570000</v>
      </c>
      <c r="F53" s="32"/>
      <c r="G53" s="32"/>
      <c r="H53" s="32"/>
      <c r="I53" s="32"/>
      <c r="J53" s="32"/>
      <c r="K53" s="32"/>
      <c r="L53" s="32"/>
      <c r="M53" s="6">
        <f t="shared" si="0"/>
        <v>0</v>
      </c>
    </row>
    <row r="54" spans="1:13" x14ac:dyDescent="0.25">
      <c r="A54" s="14">
        <v>47</v>
      </c>
      <c r="B54" s="1" t="s">
        <v>99</v>
      </c>
      <c r="C54" s="7" t="s">
        <v>100</v>
      </c>
      <c r="D54" s="14" t="s">
        <v>22</v>
      </c>
      <c r="E54" s="6">
        <v>500000</v>
      </c>
      <c r="F54" s="32"/>
      <c r="G54" s="32"/>
      <c r="H54" s="32"/>
      <c r="I54" s="32"/>
      <c r="J54" s="32"/>
      <c r="K54" s="32"/>
      <c r="L54" s="32"/>
      <c r="M54" s="6">
        <f t="shared" si="0"/>
        <v>0</v>
      </c>
    </row>
    <row r="55" spans="1:13" ht="15.75" x14ac:dyDescent="0.25">
      <c r="A55" s="14">
        <v>48</v>
      </c>
      <c r="B55" s="1" t="s">
        <v>101</v>
      </c>
      <c r="C55" s="2" t="s">
        <v>102</v>
      </c>
      <c r="D55" s="3" t="s">
        <v>103</v>
      </c>
      <c r="E55" s="15">
        <v>40000</v>
      </c>
      <c r="F55" s="32">
        <f>32+24+11+24+144</f>
        <v>235</v>
      </c>
      <c r="G55" s="32">
        <f>121+60+96+48+48+48</f>
        <v>421</v>
      </c>
      <c r="H55" s="32">
        <f>80+48+48+48+107+96</f>
        <v>427</v>
      </c>
      <c r="I55" s="32">
        <f>112+24+24+48+48+96+96</f>
        <v>448</v>
      </c>
      <c r="J55" s="32">
        <f>96*5</f>
        <v>480</v>
      </c>
      <c r="K55" s="32">
        <f>48+40+24+48</f>
        <v>160</v>
      </c>
      <c r="L55" s="32">
        <f>99+24+24+24+24</f>
        <v>195</v>
      </c>
      <c r="M55" s="6">
        <f t="shared" si="0"/>
        <v>94640000</v>
      </c>
    </row>
    <row r="56" spans="1:13" ht="15.75" x14ac:dyDescent="0.25">
      <c r="A56" s="14">
        <v>49</v>
      </c>
      <c r="B56" s="1" t="s">
        <v>104</v>
      </c>
      <c r="C56" s="2" t="s">
        <v>105</v>
      </c>
      <c r="D56" s="14" t="s">
        <v>103</v>
      </c>
      <c r="E56" s="15">
        <v>65000</v>
      </c>
      <c r="F56" s="32">
        <f>32+F29</f>
        <v>40</v>
      </c>
      <c r="G56" s="33">
        <f>121+G29</f>
        <v>152</v>
      </c>
      <c r="H56" s="32">
        <f>H33+H29</f>
        <v>100</v>
      </c>
      <c r="I56" s="32">
        <f>I33+I29</f>
        <v>140</v>
      </c>
      <c r="J56" s="32">
        <v>96</v>
      </c>
      <c r="K56" s="32">
        <f>K33+K29</f>
        <v>50</v>
      </c>
      <c r="L56" s="32">
        <f>L33+L29</f>
        <v>124</v>
      </c>
      <c r="M56" s="6">
        <f t="shared" si="0"/>
        <v>45630000</v>
      </c>
    </row>
    <row r="57" spans="1:13" ht="15.75" x14ac:dyDescent="0.25">
      <c r="A57" s="14">
        <v>50</v>
      </c>
      <c r="B57" s="1" t="s">
        <v>106</v>
      </c>
      <c r="C57" s="2" t="s">
        <v>107</v>
      </c>
      <c r="D57" s="14" t="s">
        <v>103</v>
      </c>
      <c r="E57" s="15">
        <v>57500</v>
      </c>
      <c r="F57" s="32"/>
      <c r="G57" s="32"/>
      <c r="H57" s="32"/>
      <c r="I57" s="32"/>
      <c r="J57" s="32"/>
      <c r="K57" s="32"/>
      <c r="L57" s="32"/>
      <c r="M57" s="6">
        <f t="shared" si="0"/>
        <v>0</v>
      </c>
    </row>
    <row r="58" spans="1:13" ht="30" x14ac:dyDescent="0.25">
      <c r="A58" s="14">
        <v>51</v>
      </c>
      <c r="B58" s="1" t="s">
        <v>108</v>
      </c>
      <c r="C58" s="2" t="s">
        <v>109</v>
      </c>
      <c r="D58" s="3" t="s">
        <v>9</v>
      </c>
      <c r="E58" s="15">
        <v>16000</v>
      </c>
      <c r="F58" s="32"/>
      <c r="G58" s="32"/>
      <c r="H58" s="32"/>
      <c r="I58" s="32"/>
      <c r="J58" s="32"/>
      <c r="K58" s="32"/>
      <c r="L58" s="32"/>
      <c r="M58" s="6">
        <f t="shared" si="0"/>
        <v>0</v>
      </c>
    </row>
    <row r="59" spans="1:13" ht="30" x14ac:dyDescent="0.25">
      <c r="A59" s="14">
        <v>52</v>
      </c>
      <c r="B59" s="1" t="s">
        <v>110</v>
      </c>
      <c r="C59" s="2" t="s">
        <v>111</v>
      </c>
      <c r="D59" s="3" t="s">
        <v>9</v>
      </c>
      <c r="E59" s="15">
        <v>18500</v>
      </c>
      <c r="F59" s="32"/>
      <c r="G59" s="32"/>
      <c r="H59" s="32"/>
      <c r="I59" s="32"/>
      <c r="J59" s="32"/>
      <c r="K59" s="32"/>
      <c r="L59" s="32"/>
      <c r="M59" s="6">
        <f t="shared" si="0"/>
        <v>0</v>
      </c>
    </row>
    <row r="60" spans="1:13" ht="30" x14ac:dyDescent="0.25">
      <c r="A60" s="14">
        <v>53</v>
      </c>
      <c r="B60" s="1" t="s">
        <v>112</v>
      </c>
      <c r="C60" s="2" t="s">
        <v>113</v>
      </c>
      <c r="D60" s="3" t="s">
        <v>9</v>
      </c>
      <c r="E60" s="15">
        <v>27500</v>
      </c>
      <c r="F60" s="32"/>
      <c r="G60" s="32"/>
      <c r="H60" s="32"/>
      <c r="I60" s="32"/>
      <c r="J60" s="32"/>
      <c r="K60" s="32"/>
      <c r="L60" s="32"/>
      <c r="M60" s="6">
        <f t="shared" si="0"/>
        <v>0</v>
      </c>
    </row>
    <row r="61" spans="1:13" ht="30" x14ac:dyDescent="0.25">
      <c r="A61" s="14">
        <v>54</v>
      </c>
      <c r="B61" s="1" t="s">
        <v>114</v>
      </c>
      <c r="C61" s="2" t="s">
        <v>115</v>
      </c>
      <c r="D61" s="3" t="s">
        <v>9</v>
      </c>
      <c r="E61" s="15">
        <v>31000</v>
      </c>
      <c r="F61" s="32"/>
      <c r="G61" s="32"/>
      <c r="H61" s="32"/>
      <c r="I61" s="32"/>
      <c r="J61" s="32"/>
      <c r="K61" s="32"/>
      <c r="L61" s="32"/>
      <c r="M61" s="6">
        <f t="shared" si="0"/>
        <v>0</v>
      </c>
    </row>
    <row r="62" spans="1:13" ht="30" x14ac:dyDescent="0.25">
      <c r="A62" s="14">
        <v>55</v>
      </c>
      <c r="B62" s="1" t="s">
        <v>116</v>
      </c>
      <c r="C62" s="2" t="s">
        <v>117</v>
      </c>
      <c r="D62" s="3" t="s">
        <v>9</v>
      </c>
      <c r="E62" s="15">
        <v>41500</v>
      </c>
      <c r="F62" s="32"/>
      <c r="G62" s="32"/>
      <c r="H62" s="32"/>
      <c r="I62" s="32"/>
      <c r="J62" s="32">
        <f>7000/10*2</f>
        <v>1400</v>
      </c>
      <c r="K62" s="32"/>
      <c r="L62" s="32"/>
      <c r="M62" s="6">
        <f t="shared" si="0"/>
        <v>58100000</v>
      </c>
    </row>
    <row r="63" spans="1:13" ht="30" x14ac:dyDescent="0.25">
      <c r="A63" s="14">
        <v>56</v>
      </c>
      <c r="B63" s="1" t="s">
        <v>118</v>
      </c>
      <c r="C63" s="2" t="s">
        <v>119</v>
      </c>
      <c r="D63" s="3" t="s">
        <v>9</v>
      </c>
      <c r="E63" s="6">
        <v>213800</v>
      </c>
      <c r="F63" s="32"/>
      <c r="G63" s="32"/>
      <c r="H63" s="32"/>
      <c r="I63" s="32"/>
      <c r="J63" s="32"/>
      <c r="K63" s="32"/>
      <c r="L63" s="32"/>
      <c r="M63" s="6">
        <f t="shared" si="0"/>
        <v>0</v>
      </c>
    </row>
    <row r="64" spans="1:13" ht="30" x14ac:dyDescent="0.25">
      <c r="A64" s="14">
        <v>57</v>
      </c>
      <c r="B64" s="1" t="s">
        <v>120</v>
      </c>
      <c r="C64" s="2" t="s">
        <v>121</v>
      </c>
      <c r="D64" s="3" t="s">
        <v>122</v>
      </c>
      <c r="E64" s="6">
        <v>125774</v>
      </c>
      <c r="F64" s="32"/>
      <c r="G64" s="32"/>
      <c r="H64" s="32"/>
      <c r="I64" s="32"/>
      <c r="J64" s="32"/>
      <c r="K64" s="32"/>
      <c r="L64" s="32"/>
      <c r="M64" s="6">
        <f t="shared" si="0"/>
        <v>0</v>
      </c>
    </row>
    <row r="65" spans="1:13" ht="15.75" x14ac:dyDescent="0.25">
      <c r="A65" s="14">
        <v>58</v>
      </c>
      <c r="B65" s="12" t="s">
        <v>123</v>
      </c>
      <c r="C65" s="7" t="s">
        <v>124</v>
      </c>
      <c r="D65" s="13" t="s">
        <v>9</v>
      </c>
      <c r="E65" s="15">
        <v>33700</v>
      </c>
      <c r="F65" s="32">
        <f>F12</f>
        <v>3532</v>
      </c>
      <c r="G65" s="32"/>
      <c r="H65" s="32"/>
      <c r="I65" s="32"/>
      <c r="J65" s="32">
        <v>15600</v>
      </c>
      <c r="K65" s="32"/>
      <c r="L65" s="32"/>
      <c r="M65" s="6">
        <f t="shared" si="0"/>
        <v>644748400</v>
      </c>
    </row>
    <row r="66" spans="1:13" ht="30" x14ac:dyDescent="0.25">
      <c r="A66" s="14">
        <v>59</v>
      </c>
      <c r="B66" s="12" t="s">
        <v>125</v>
      </c>
      <c r="C66" s="7" t="s">
        <v>126</v>
      </c>
      <c r="D66" s="13" t="s">
        <v>9</v>
      </c>
      <c r="E66" s="15">
        <v>35900</v>
      </c>
      <c r="F66" s="32"/>
      <c r="G66" s="32"/>
      <c r="H66" s="32"/>
      <c r="I66" s="32"/>
      <c r="J66" s="32"/>
      <c r="K66" s="32"/>
      <c r="L66" s="32"/>
      <c r="M66" s="6">
        <f t="shared" si="0"/>
        <v>0</v>
      </c>
    </row>
    <row r="67" spans="1:13" ht="15.75" x14ac:dyDescent="0.25">
      <c r="A67" s="14">
        <v>60</v>
      </c>
      <c r="B67" s="12" t="s">
        <v>127</v>
      </c>
      <c r="C67" s="7" t="s">
        <v>128</v>
      </c>
      <c r="D67" s="13" t="s">
        <v>9</v>
      </c>
      <c r="E67" s="15">
        <v>33700</v>
      </c>
      <c r="F67" s="32"/>
      <c r="G67" s="32"/>
      <c r="H67" s="32"/>
      <c r="I67" s="32"/>
      <c r="J67" s="32"/>
      <c r="K67" s="32"/>
      <c r="L67" s="32"/>
      <c r="M67" s="6">
        <f t="shared" si="0"/>
        <v>0</v>
      </c>
    </row>
    <row r="68" spans="1:13" ht="15.75" x14ac:dyDescent="0.25">
      <c r="A68" s="14">
        <v>61</v>
      </c>
      <c r="B68" s="1" t="s">
        <v>129</v>
      </c>
      <c r="C68" s="7" t="s">
        <v>130</v>
      </c>
      <c r="D68" s="13" t="s">
        <v>9</v>
      </c>
      <c r="E68" s="15">
        <v>41200</v>
      </c>
      <c r="F68" s="32"/>
      <c r="G68" s="32"/>
      <c r="H68" s="32"/>
      <c r="I68" s="32"/>
      <c r="J68" s="32"/>
      <c r="K68" s="32"/>
      <c r="L68" s="32"/>
      <c r="M68" s="6">
        <f t="shared" si="0"/>
        <v>0</v>
      </c>
    </row>
    <row r="69" spans="1:13" ht="15.75" x14ac:dyDescent="0.25">
      <c r="A69" s="14">
        <v>62</v>
      </c>
      <c r="B69" s="1" t="s">
        <v>131</v>
      </c>
      <c r="C69" s="7" t="s">
        <v>132</v>
      </c>
      <c r="D69" s="13" t="s">
        <v>9</v>
      </c>
      <c r="E69" s="15">
        <v>1817</v>
      </c>
      <c r="F69" s="32"/>
      <c r="G69" s="32"/>
      <c r="H69" s="32"/>
      <c r="I69" s="32"/>
      <c r="J69" s="32"/>
      <c r="K69" s="32"/>
      <c r="L69" s="32"/>
      <c r="M69" s="6">
        <f t="shared" si="0"/>
        <v>0</v>
      </c>
    </row>
    <row r="70" spans="1:13" x14ac:dyDescent="0.25">
      <c r="A70" s="14">
        <v>63</v>
      </c>
      <c r="B70" s="1" t="s">
        <v>133</v>
      </c>
      <c r="C70" s="7" t="s">
        <v>134</v>
      </c>
      <c r="D70" s="13" t="s">
        <v>9</v>
      </c>
      <c r="E70" s="6">
        <v>72685</v>
      </c>
      <c r="F70" s="32"/>
      <c r="G70" s="32"/>
      <c r="H70" s="32"/>
      <c r="I70" s="32"/>
      <c r="J70" s="32"/>
      <c r="K70" s="32"/>
      <c r="L70" s="32"/>
      <c r="M70" s="6">
        <f t="shared" si="0"/>
        <v>0</v>
      </c>
    </row>
    <row r="71" spans="1:13" x14ac:dyDescent="0.25">
      <c r="A71" s="14">
        <v>64</v>
      </c>
      <c r="B71" s="1" t="s">
        <v>135</v>
      </c>
      <c r="C71" s="7" t="s">
        <v>136</v>
      </c>
      <c r="D71" s="13" t="s">
        <v>137</v>
      </c>
      <c r="E71" s="6">
        <v>1715941</v>
      </c>
      <c r="F71" s="32"/>
      <c r="G71" s="32"/>
      <c r="H71" s="32"/>
      <c r="I71" s="32"/>
      <c r="J71" s="32"/>
      <c r="K71" s="32"/>
      <c r="L71" s="32"/>
      <c r="M71" s="6">
        <f t="shared" si="0"/>
        <v>0</v>
      </c>
    </row>
    <row r="72" spans="1:13" ht="45" x14ac:dyDescent="0.25">
      <c r="A72" s="14">
        <v>65</v>
      </c>
      <c r="B72" s="1" t="s">
        <v>138</v>
      </c>
      <c r="C72" s="7" t="s">
        <v>139</v>
      </c>
      <c r="D72" s="13" t="s">
        <v>9</v>
      </c>
      <c r="E72" s="6">
        <v>454893</v>
      </c>
      <c r="F72" s="32">
        <v>20</v>
      </c>
      <c r="G72" s="32"/>
      <c r="H72" s="32"/>
      <c r="I72" s="32"/>
      <c r="J72" s="32"/>
      <c r="K72" s="32"/>
      <c r="L72" s="32"/>
      <c r="M72" s="6">
        <f t="shared" ref="M72:M110" si="4">(F72+G72+H72+I72+J72+K72+L72)*E72</f>
        <v>9097860</v>
      </c>
    </row>
    <row r="73" spans="1:13" ht="30" x14ac:dyDescent="0.25">
      <c r="A73" s="14">
        <v>66</v>
      </c>
      <c r="B73" s="1" t="s">
        <v>140</v>
      </c>
      <c r="C73" s="7" t="s">
        <v>141</v>
      </c>
      <c r="D73" s="13" t="s">
        <v>9</v>
      </c>
      <c r="E73" s="6">
        <v>452776</v>
      </c>
      <c r="F73" s="32"/>
      <c r="G73" s="32"/>
      <c r="H73" s="32"/>
      <c r="I73" s="32"/>
      <c r="J73" s="32"/>
      <c r="K73" s="32"/>
      <c r="L73" s="32"/>
      <c r="M73" s="6">
        <f t="shared" si="4"/>
        <v>0</v>
      </c>
    </row>
    <row r="74" spans="1:13" ht="30" x14ac:dyDescent="0.25">
      <c r="A74" s="14">
        <v>67</v>
      </c>
      <c r="B74" s="1" t="s">
        <v>142</v>
      </c>
      <c r="C74" s="7" t="s">
        <v>143</v>
      </c>
      <c r="D74" s="3" t="s">
        <v>22</v>
      </c>
      <c r="E74" s="6">
        <v>13800</v>
      </c>
      <c r="F74" s="32"/>
      <c r="G74" s="32"/>
      <c r="H74" s="32"/>
      <c r="I74" s="32"/>
      <c r="J74" s="32"/>
      <c r="K74" s="32"/>
      <c r="L74" s="32"/>
      <c r="M74" s="6">
        <f t="shared" si="4"/>
        <v>0</v>
      </c>
    </row>
    <row r="75" spans="1:13" ht="15.75" x14ac:dyDescent="0.25">
      <c r="A75" s="56" t="s">
        <v>144</v>
      </c>
      <c r="B75" s="56"/>
      <c r="C75" s="56"/>
      <c r="D75" s="56"/>
      <c r="E75" s="56"/>
      <c r="F75" s="32"/>
      <c r="G75" s="32"/>
      <c r="H75" s="32"/>
      <c r="I75" s="32"/>
      <c r="J75" s="32"/>
      <c r="K75" s="32"/>
      <c r="L75" s="32"/>
      <c r="M75" s="6">
        <f t="shared" si="4"/>
        <v>0</v>
      </c>
    </row>
    <row r="76" spans="1:13" ht="30" x14ac:dyDescent="0.25">
      <c r="A76" s="23">
        <v>68</v>
      </c>
      <c r="B76" s="16" t="s">
        <v>145</v>
      </c>
      <c r="C76" s="9" t="s">
        <v>146</v>
      </c>
      <c r="D76" s="17" t="s">
        <v>22</v>
      </c>
      <c r="E76" s="11">
        <v>8436393</v>
      </c>
      <c r="F76" s="32"/>
      <c r="G76" s="32"/>
      <c r="H76" s="32"/>
      <c r="I76" s="32"/>
      <c r="J76" s="32"/>
      <c r="K76" s="32"/>
      <c r="L76" s="32"/>
      <c r="M76" s="6">
        <f t="shared" si="4"/>
        <v>0</v>
      </c>
    </row>
    <row r="77" spans="1:13" ht="30" x14ac:dyDescent="0.25">
      <c r="A77" s="23">
        <v>69</v>
      </c>
      <c r="B77" s="16" t="s">
        <v>147</v>
      </c>
      <c r="C77" s="9" t="s">
        <v>148</v>
      </c>
      <c r="D77" s="18" t="s">
        <v>22</v>
      </c>
      <c r="E77" s="11">
        <v>8365460</v>
      </c>
      <c r="F77" s="32">
        <v>1</v>
      </c>
      <c r="G77" s="32">
        <v>1</v>
      </c>
      <c r="H77" s="32">
        <v>1</v>
      </c>
      <c r="I77" s="32">
        <v>2</v>
      </c>
      <c r="J77" s="32">
        <v>6</v>
      </c>
      <c r="K77" s="32"/>
      <c r="L77" s="32">
        <v>1</v>
      </c>
      <c r="M77" s="6">
        <f t="shared" si="4"/>
        <v>100385520</v>
      </c>
    </row>
    <row r="78" spans="1:13" ht="30" x14ac:dyDescent="0.25">
      <c r="A78" s="23">
        <v>70</v>
      </c>
      <c r="B78" s="16" t="s">
        <v>149</v>
      </c>
      <c r="C78" s="9" t="s">
        <v>150</v>
      </c>
      <c r="D78" s="18" t="s">
        <v>22</v>
      </c>
      <c r="E78" s="11">
        <v>3166169</v>
      </c>
      <c r="F78" s="32"/>
      <c r="G78" s="32"/>
      <c r="H78" s="32"/>
      <c r="I78" s="32"/>
      <c r="J78" s="32"/>
      <c r="K78" s="32">
        <v>1</v>
      </c>
      <c r="L78" s="32"/>
      <c r="M78" s="6">
        <f t="shared" si="4"/>
        <v>3166169</v>
      </c>
    </row>
    <row r="79" spans="1:13" ht="30" x14ac:dyDescent="0.25">
      <c r="A79" s="23">
        <v>71</v>
      </c>
      <c r="B79" s="16" t="s">
        <v>151</v>
      </c>
      <c r="C79" s="26" t="s">
        <v>152</v>
      </c>
      <c r="D79" s="17" t="s">
        <v>22</v>
      </c>
      <c r="E79" s="11">
        <v>594830</v>
      </c>
      <c r="F79" s="32"/>
      <c r="G79" s="32"/>
      <c r="H79" s="32"/>
      <c r="I79" s="32"/>
      <c r="J79" s="32"/>
      <c r="K79" s="32"/>
      <c r="L79" s="32"/>
      <c r="M79" s="6">
        <f t="shared" si="4"/>
        <v>0</v>
      </c>
    </row>
    <row r="80" spans="1:13" ht="30" x14ac:dyDescent="0.25">
      <c r="A80" s="23">
        <v>72</v>
      </c>
      <c r="B80" s="16" t="s">
        <v>153</v>
      </c>
      <c r="C80" s="9" t="s">
        <v>154</v>
      </c>
      <c r="D80" s="19" t="s">
        <v>22</v>
      </c>
      <c r="E80" s="11">
        <v>1195863</v>
      </c>
      <c r="F80" s="32"/>
      <c r="G80" s="32"/>
      <c r="H80" s="32"/>
      <c r="I80" s="32"/>
      <c r="J80" s="32"/>
      <c r="K80" s="32"/>
      <c r="L80" s="32"/>
      <c r="M80" s="6">
        <f t="shared" si="4"/>
        <v>0</v>
      </c>
    </row>
    <row r="81" spans="1:14" ht="30" x14ac:dyDescent="0.25">
      <c r="A81" s="23">
        <v>73</v>
      </c>
      <c r="B81" s="16" t="s">
        <v>155</v>
      </c>
      <c r="C81" s="9" t="s">
        <v>156</v>
      </c>
      <c r="D81" s="19" t="s">
        <v>22</v>
      </c>
      <c r="E81" s="11">
        <v>2563918</v>
      </c>
      <c r="F81" s="32"/>
      <c r="G81" s="32"/>
      <c r="H81" s="32"/>
      <c r="I81" s="32"/>
      <c r="J81" s="32"/>
      <c r="K81" s="32"/>
      <c r="L81" s="32"/>
      <c r="M81" s="6">
        <f t="shared" si="4"/>
        <v>0</v>
      </c>
    </row>
    <row r="82" spans="1:14" x14ac:dyDescent="0.25">
      <c r="A82" s="23">
        <v>74</v>
      </c>
      <c r="B82" s="16" t="s">
        <v>157</v>
      </c>
      <c r="C82" s="20" t="s">
        <v>158</v>
      </c>
      <c r="D82" s="17" t="s">
        <v>22</v>
      </c>
      <c r="E82" s="11">
        <v>1481901</v>
      </c>
      <c r="F82" s="32"/>
      <c r="G82" s="32"/>
      <c r="H82" s="32"/>
      <c r="I82" s="32"/>
      <c r="J82" s="32"/>
      <c r="K82" s="32"/>
      <c r="L82" s="32"/>
      <c r="M82" s="6">
        <f t="shared" si="4"/>
        <v>0</v>
      </c>
    </row>
    <row r="83" spans="1:14" ht="30" x14ac:dyDescent="0.25">
      <c r="A83" s="14">
        <v>75</v>
      </c>
      <c r="B83" s="1" t="s">
        <v>159</v>
      </c>
      <c r="C83" s="2" t="s">
        <v>160</v>
      </c>
      <c r="D83" s="3" t="s">
        <v>161</v>
      </c>
      <c r="E83" s="15">
        <v>3260000</v>
      </c>
      <c r="F83" s="32">
        <v>1</v>
      </c>
      <c r="G83" s="32">
        <v>1</v>
      </c>
      <c r="H83" s="32">
        <v>1</v>
      </c>
      <c r="I83" s="32">
        <v>1</v>
      </c>
      <c r="J83" s="32">
        <v>1</v>
      </c>
      <c r="K83" s="32">
        <v>1</v>
      </c>
      <c r="L83" s="32">
        <v>1</v>
      </c>
      <c r="M83" s="6">
        <f t="shared" si="4"/>
        <v>22820000</v>
      </c>
    </row>
    <row r="84" spans="1:14" ht="30" x14ac:dyDescent="0.25">
      <c r="A84" s="14">
        <v>76</v>
      </c>
      <c r="B84" s="1" t="s">
        <v>162</v>
      </c>
      <c r="C84" s="2" t="s">
        <v>163</v>
      </c>
      <c r="D84" s="3" t="s">
        <v>161</v>
      </c>
      <c r="E84" s="21" t="s">
        <v>164</v>
      </c>
      <c r="F84" s="32">
        <v>1</v>
      </c>
      <c r="G84" s="32">
        <v>1</v>
      </c>
      <c r="H84" s="32">
        <v>1</v>
      </c>
      <c r="I84" s="32">
        <v>1</v>
      </c>
      <c r="J84" s="32"/>
      <c r="K84" s="32">
        <v>1</v>
      </c>
      <c r="L84" s="32">
        <v>1</v>
      </c>
      <c r="M84" s="6"/>
    </row>
    <row r="85" spans="1:14" x14ac:dyDescent="0.25">
      <c r="A85" s="14">
        <v>77</v>
      </c>
      <c r="B85" s="12" t="s">
        <v>165</v>
      </c>
      <c r="C85" s="7" t="s">
        <v>166</v>
      </c>
      <c r="D85" s="14" t="s">
        <v>22</v>
      </c>
      <c r="E85" s="6">
        <v>38000</v>
      </c>
      <c r="F85" s="32">
        <v>5</v>
      </c>
      <c r="G85" s="32">
        <v>2</v>
      </c>
      <c r="H85" s="32">
        <v>2</v>
      </c>
      <c r="I85" s="32"/>
      <c r="J85" s="32"/>
      <c r="K85" s="32">
        <v>1</v>
      </c>
      <c r="L85" s="32"/>
      <c r="M85" s="6">
        <f t="shared" si="4"/>
        <v>380000</v>
      </c>
    </row>
    <row r="86" spans="1:14" x14ac:dyDescent="0.25">
      <c r="A86" s="14">
        <v>78</v>
      </c>
      <c r="B86" s="12" t="s">
        <v>167</v>
      </c>
      <c r="C86" s="7" t="s">
        <v>168</v>
      </c>
      <c r="D86" s="13" t="s">
        <v>22</v>
      </c>
      <c r="E86" s="6">
        <v>47000</v>
      </c>
      <c r="F86" s="32">
        <v>1</v>
      </c>
      <c r="G86" s="32">
        <v>1</v>
      </c>
      <c r="H86" s="32">
        <v>1</v>
      </c>
      <c r="I86" s="32">
        <v>2</v>
      </c>
      <c r="J86" s="32">
        <v>6</v>
      </c>
      <c r="K86" s="32"/>
      <c r="L86" s="32">
        <v>1</v>
      </c>
      <c r="M86" s="6">
        <f t="shared" si="4"/>
        <v>564000</v>
      </c>
    </row>
    <row r="87" spans="1:14" ht="30" x14ac:dyDescent="0.25">
      <c r="A87" s="14">
        <v>79</v>
      </c>
      <c r="B87" s="1" t="s">
        <v>169</v>
      </c>
      <c r="C87" s="7" t="s">
        <v>170</v>
      </c>
      <c r="D87" s="13" t="s">
        <v>22</v>
      </c>
      <c r="E87" s="6">
        <v>21800</v>
      </c>
      <c r="F87" s="32">
        <v>35</v>
      </c>
      <c r="G87" s="32">
        <v>127</v>
      </c>
      <c r="H87" s="32">
        <v>85</v>
      </c>
      <c r="I87" s="32">
        <v>118</v>
      </c>
      <c r="J87" s="32"/>
      <c r="K87" s="32">
        <v>45</v>
      </c>
      <c r="L87" s="32">
        <v>103</v>
      </c>
      <c r="M87" s="6">
        <f t="shared" si="4"/>
        <v>11183400</v>
      </c>
      <c r="N87" s="28"/>
    </row>
    <row r="88" spans="1:14" ht="30" x14ac:dyDescent="0.25">
      <c r="A88" s="14">
        <v>80</v>
      </c>
      <c r="B88" s="1" t="s">
        <v>171</v>
      </c>
      <c r="C88" s="2" t="s">
        <v>172</v>
      </c>
      <c r="D88" s="14" t="s">
        <v>22</v>
      </c>
      <c r="E88" s="6">
        <v>4000</v>
      </c>
      <c r="F88" s="32"/>
      <c r="G88" s="32"/>
      <c r="H88" s="32"/>
      <c r="I88" s="32"/>
      <c r="J88" s="32"/>
      <c r="K88" s="32"/>
      <c r="L88" s="32"/>
      <c r="M88" s="6">
        <f t="shared" si="4"/>
        <v>0</v>
      </c>
    </row>
    <row r="89" spans="1:14" ht="30" x14ac:dyDescent="0.25">
      <c r="A89" s="14">
        <v>81</v>
      </c>
      <c r="B89" s="1" t="s">
        <v>173</v>
      </c>
      <c r="C89" s="2" t="s">
        <v>174</v>
      </c>
      <c r="D89" s="14" t="s">
        <v>22</v>
      </c>
      <c r="E89" s="6">
        <v>52000</v>
      </c>
      <c r="F89" s="32">
        <v>3</v>
      </c>
      <c r="G89" s="32">
        <v>3</v>
      </c>
      <c r="H89" s="32">
        <v>3</v>
      </c>
      <c r="I89" s="32">
        <v>3</v>
      </c>
      <c r="J89" s="32"/>
      <c r="K89" s="32">
        <v>3</v>
      </c>
      <c r="L89" s="32">
        <v>3</v>
      </c>
      <c r="M89" s="6">
        <f t="shared" si="4"/>
        <v>936000</v>
      </c>
    </row>
    <row r="90" spans="1:14" x14ac:dyDescent="0.25">
      <c r="A90" s="23">
        <v>82</v>
      </c>
      <c r="B90" s="8" t="s">
        <v>175</v>
      </c>
      <c r="C90" s="22" t="s">
        <v>176</v>
      </c>
      <c r="D90" s="14" t="s">
        <v>22</v>
      </c>
      <c r="E90" s="6">
        <v>6000</v>
      </c>
      <c r="F90" s="32">
        <f>162*2</f>
        <v>324</v>
      </c>
      <c r="G90" s="32">
        <f>G94*2</f>
        <v>1832</v>
      </c>
      <c r="H90" s="33">
        <f>H94*2</f>
        <v>1673.68</v>
      </c>
      <c r="I90" s="33">
        <f t="shared" ref="I90:L90" si="5">I94*2</f>
        <v>1487.12</v>
      </c>
      <c r="J90" s="33"/>
      <c r="K90" s="33">
        <f>K94*2</f>
        <v>446.16</v>
      </c>
      <c r="L90" s="33">
        <f t="shared" si="5"/>
        <v>549.52</v>
      </c>
      <c r="M90" s="6">
        <f t="shared" si="4"/>
        <v>37874880</v>
      </c>
    </row>
    <row r="91" spans="1:14" x14ac:dyDescent="0.25">
      <c r="A91" s="23">
        <v>83</v>
      </c>
      <c r="B91" s="8" t="s">
        <v>177</v>
      </c>
      <c r="C91" s="22" t="s">
        <v>178</v>
      </c>
      <c r="D91" s="14" t="s">
        <v>22</v>
      </c>
      <c r="E91" s="6">
        <v>17900</v>
      </c>
      <c r="F91" s="32"/>
      <c r="G91" s="32"/>
      <c r="H91" s="32"/>
      <c r="I91" s="32"/>
      <c r="J91" s="32"/>
      <c r="K91" s="32"/>
      <c r="L91" s="32"/>
      <c r="M91" s="6">
        <f t="shared" si="4"/>
        <v>0</v>
      </c>
    </row>
    <row r="92" spans="1:14" x14ac:dyDescent="0.25">
      <c r="A92" s="23">
        <v>84</v>
      </c>
      <c r="B92" s="8" t="s">
        <v>179</v>
      </c>
      <c r="C92" s="22" t="s">
        <v>180</v>
      </c>
      <c r="D92" s="14" t="s">
        <v>22</v>
      </c>
      <c r="E92" s="6">
        <v>17900</v>
      </c>
      <c r="F92" s="32">
        <f>F44*2</f>
        <v>162</v>
      </c>
      <c r="G92" s="32">
        <f>G44*2</f>
        <v>916</v>
      </c>
      <c r="H92" s="33">
        <f>H44*2</f>
        <v>836.84</v>
      </c>
      <c r="I92" s="33">
        <f t="shared" ref="I92:L92" si="6">I44*2</f>
        <v>743.56</v>
      </c>
      <c r="J92" s="33"/>
      <c r="K92" s="33">
        <f t="shared" si="6"/>
        <v>223.08</v>
      </c>
      <c r="L92" s="33">
        <f t="shared" si="6"/>
        <v>274.76</v>
      </c>
      <c r="M92" s="6">
        <f t="shared" si="4"/>
        <v>56496695.999999993</v>
      </c>
    </row>
    <row r="93" spans="1:14" x14ac:dyDescent="0.25">
      <c r="A93" s="23">
        <v>85</v>
      </c>
      <c r="B93" s="8" t="s">
        <v>181</v>
      </c>
      <c r="C93" s="22" t="s">
        <v>182</v>
      </c>
      <c r="D93" s="14" t="s">
        <v>22</v>
      </c>
      <c r="E93" s="6">
        <v>15800</v>
      </c>
      <c r="F93" s="32">
        <f>F92</f>
        <v>162</v>
      </c>
      <c r="G93" s="32">
        <f>G92</f>
        <v>916</v>
      </c>
      <c r="H93" s="33">
        <f>H92</f>
        <v>836.84</v>
      </c>
      <c r="I93" s="33">
        <f t="shared" ref="I93:L93" si="7">I92</f>
        <v>743.56</v>
      </c>
      <c r="J93" s="33"/>
      <c r="K93" s="33">
        <f t="shared" si="7"/>
        <v>223.08</v>
      </c>
      <c r="L93" s="33">
        <f t="shared" si="7"/>
        <v>274.76</v>
      </c>
      <c r="M93" s="6">
        <f t="shared" si="4"/>
        <v>49868592</v>
      </c>
    </row>
    <row r="94" spans="1:14" x14ac:dyDescent="0.25">
      <c r="A94" s="23">
        <v>86</v>
      </c>
      <c r="B94" s="8" t="s">
        <v>183</v>
      </c>
      <c r="C94" s="22" t="s">
        <v>184</v>
      </c>
      <c r="D94" s="14" t="s">
        <v>22</v>
      </c>
      <c r="E94" s="6">
        <v>37000</v>
      </c>
      <c r="F94" s="32">
        <f>F44*2</f>
        <v>162</v>
      </c>
      <c r="G94" s="32">
        <f>G44*2</f>
        <v>916</v>
      </c>
      <c r="H94" s="33">
        <f>H44*2</f>
        <v>836.84</v>
      </c>
      <c r="I94" s="33">
        <f t="shared" ref="I94:L94" si="8">I44*2</f>
        <v>743.56</v>
      </c>
      <c r="J94" s="33"/>
      <c r="K94" s="33">
        <f t="shared" si="8"/>
        <v>223.08</v>
      </c>
      <c r="L94" s="33">
        <f t="shared" si="8"/>
        <v>274.76</v>
      </c>
      <c r="M94" s="6">
        <f t="shared" si="4"/>
        <v>116780879.99999999</v>
      </c>
    </row>
    <row r="95" spans="1:14" x14ac:dyDescent="0.25">
      <c r="A95" s="23">
        <v>87</v>
      </c>
      <c r="B95" s="8" t="s">
        <v>185</v>
      </c>
      <c r="C95" s="22" t="s">
        <v>186</v>
      </c>
      <c r="D95" s="14" t="s">
        <v>22</v>
      </c>
      <c r="E95" s="6">
        <v>17900</v>
      </c>
      <c r="F95" s="32"/>
      <c r="G95" s="32"/>
      <c r="H95" s="32"/>
      <c r="I95" s="32"/>
      <c r="J95" s="32"/>
      <c r="K95" s="32"/>
      <c r="L95" s="32"/>
      <c r="M95" s="6">
        <f t="shared" si="4"/>
        <v>0</v>
      </c>
    </row>
    <row r="96" spans="1:14" ht="15.75" x14ac:dyDescent="0.25">
      <c r="A96" s="56" t="s">
        <v>187</v>
      </c>
      <c r="B96" s="56"/>
      <c r="C96" s="56"/>
      <c r="D96" s="56"/>
      <c r="E96" s="56"/>
      <c r="F96" s="32"/>
      <c r="G96" s="32"/>
      <c r="H96" s="32"/>
      <c r="I96" s="32"/>
      <c r="J96" s="32"/>
      <c r="K96" s="32"/>
      <c r="L96" s="32"/>
      <c r="M96" s="6">
        <f t="shared" si="4"/>
        <v>0</v>
      </c>
    </row>
    <row r="97" spans="1:13" ht="30" x14ac:dyDescent="0.25">
      <c r="A97" s="14">
        <v>88</v>
      </c>
      <c r="B97" s="12" t="s">
        <v>188</v>
      </c>
      <c r="C97" s="2" t="s">
        <v>189</v>
      </c>
      <c r="D97" s="14" t="s">
        <v>22</v>
      </c>
      <c r="E97" s="6">
        <v>700000</v>
      </c>
      <c r="F97" s="32"/>
      <c r="G97" s="32"/>
      <c r="H97" s="32"/>
      <c r="I97" s="32"/>
      <c r="J97" s="32"/>
      <c r="K97" s="32"/>
      <c r="L97" s="32"/>
      <c r="M97" s="6">
        <f t="shared" si="4"/>
        <v>0</v>
      </c>
    </row>
    <row r="98" spans="1:13" ht="30" x14ac:dyDescent="0.25">
      <c r="A98" s="14">
        <v>89</v>
      </c>
      <c r="B98" s="12" t="s">
        <v>190</v>
      </c>
      <c r="C98" s="2" t="s">
        <v>191</v>
      </c>
      <c r="D98" s="14" t="s">
        <v>22</v>
      </c>
      <c r="E98" s="6">
        <v>750000</v>
      </c>
      <c r="F98" s="32"/>
      <c r="G98" s="32"/>
      <c r="H98" s="32"/>
      <c r="I98" s="32"/>
      <c r="J98" s="32"/>
      <c r="K98" s="32"/>
      <c r="L98" s="32"/>
      <c r="M98" s="6">
        <f t="shared" si="4"/>
        <v>0</v>
      </c>
    </row>
    <row r="99" spans="1:13" x14ac:dyDescent="0.25">
      <c r="A99" s="23">
        <v>90</v>
      </c>
      <c r="B99" s="8" t="s">
        <v>192</v>
      </c>
      <c r="C99" s="22" t="s">
        <v>193</v>
      </c>
      <c r="D99" s="23" t="s">
        <v>9</v>
      </c>
      <c r="E99" s="11">
        <v>2200</v>
      </c>
      <c r="F99" s="32"/>
      <c r="G99" s="32"/>
      <c r="H99" s="32"/>
      <c r="I99" s="32"/>
      <c r="J99" s="32"/>
      <c r="K99" s="32"/>
      <c r="L99" s="32"/>
      <c r="M99" s="6">
        <f t="shared" si="4"/>
        <v>0</v>
      </c>
    </row>
    <row r="100" spans="1:13" x14ac:dyDescent="0.25">
      <c r="A100" s="23">
        <v>91</v>
      </c>
      <c r="B100" s="8" t="s">
        <v>194</v>
      </c>
      <c r="C100" s="22" t="s">
        <v>195</v>
      </c>
      <c r="D100" s="23" t="s">
        <v>9</v>
      </c>
      <c r="E100" s="11">
        <v>1700</v>
      </c>
      <c r="F100" s="32"/>
      <c r="G100" s="32"/>
      <c r="H100" s="32"/>
      <c r="I100" s="32"/>
      <c r="J100" s="32"/>
      <c r="K100" s="32"/>
      <c r="L100" s="32"/>
      <c r="M100" s="6">
        <f t="shared" si="4"/>
        <v>0</v>
      </c>
    </row>
    <row r="101" spans="1:13" ht="30" x14ac:dyDescent="0.25">
      <c r="A101" s="23">
        <v>92</v>
      </c>
      <c r="B101" s="16" t="s">
        <v>196</v>
      </c>
      <c r="C101" s="22" t="s">
        <v>197</v>
      </c>
      <c r="D101" s="23" t="s">
        <v>9</v>
      </c>
      <c r="E101" s="11">
        <v>1100</v>
      </c>
      <c r="F101" s="32"/>
      <c r="G101" s="32"/>
      <c r="H101" s="32"/>
      <c r="I101" s="32"/>
      <c r="J101" s="32"/>
      <c r="K101" s="32"/>
      <c r="L101" s="32"/>
      <c r="M101" s="6">
        <f t="shared" si="4"/>
        <v>0</v>
      </c>
    </row>
    <row r="102" spans="1:13" x14ac:dyDescent="0.25">
      <c r="A102" s="23">
        <v>93</v>
      </c>
      <c r="B102" s="8" t="s">
        <v>198</v>
      </c>
      <c r="C102" s="22" t="s">
        <v>199</v>
      </c>
      <c r="D102" s="23" t="s">
        <v>22</v>
      </c>
      <c r="E102" s="11">
        <v>150000</v>
      </c>
      <c r="I102" s="33"/>
      <c r="J102" s="33"/>
      <c r="K102" s="33"/>
      <c r="L102" s="33"/>
      <c r="M102" s="6">
        <f t="shared" si="4"/>
        <v>0</v>
      </c>
    </row>
    <row r="103" spans="1:13" x14ac:dyDescent="0.25">
      <c r="A103" s="23">
        <v>94</v>
      </c>
      <c r="B103" s="8" t="s">
        <v>200</v>
      </c>
      <c r="C103" s="22" t="s">
        <v>201</v>
      </c>
      <c r="D103" s="23" t="s">
        <v>22</v>
      </c>
      <c r="E103" s="11">
        <v>170000</v>
      </c>
      <c r="F103" s="32"/>
      <c r="G103" s="32"/>
      <c r="H103" s="32"/>
      <c r="I103" s="32"/>
      <c r="J103" s="32"/>
      <c r="K103" s="32"/>
      <c r="L103" s="32"/>
      <c r="M103" s="6">
        <f t="shared" si="4"/>
        <v>0</v>
      </c>
    </row>
    <row r="104" spans="1:13" x14ac:dyDescent="0.25">
      <c r="A104" s="14">
        <v>95</v>
      </c>
      <c r="B104" s="12" t="s">
        <v>202</v>
      </c>
      <c r="C104" s="2" t="s">
        <v>203</v>
      </c>
      <c r="D104" s="14" t="s">
        <v>204</v>
      </c>
      <c r="E104" s="6">
        <v>5000</v>
      </c>
      <c r="F104" s="32"/>
      <c r="G104" s="32"/>
      <c r="H104" s="32"/>
      <c r="I104" s="32"/>
      <c r="J104" s="32"/>
      <c r="K104" s="32"/>
      <c r="L104" s="32"/>
      <c r="M104" s="6">
        <f t="shared" si="4"/>
        <v>0</v>
      </c>
    </row>
    <row r="105" spans="1:13" ht="30" x14ac:dyDescent="0.25">
      <c r="A105" s="23">
        <v>96</v>
      </c>
      <c r="B105" s="8" t="s">
        <v>205</v>
      </c>
      <c r="C105" s="22" t="s">
        <v>206</v>
      </c>
      <c r="D105" s="23" t="s">
        <v>204</v>
      </c>
      <c r="E105" s="11">
        <v>16500000</v>
      </c>
      <c r="F105" s="32"/>
      <c r="G105" s="32"/>
      <c r="H105" s="32"/>
      <c r="I105" s="32"/>
      <c r="J105" s="32"/>
      <c r="K105" s="32"/>
      <c r="L105" s="32"/>
      <c r="M105" s="6">
        <f t="shared" si="4"/>
        <v>0</v>
      </c>
    </row>
    <row r="106" spans="1:13" ht="30" x14ac:dyDescent="0.25">
      <c r="A106" s="23">
        <v>97</v>
      </c>
      <c r="B106" s="8" t="s">
        <v>207</v>
      </c>
      <c r="C106" s="22" t="s">
        <v>208</v>
      </c>
      <c r="D106" s="23" t="s">
        <v>9</v>
      </c>
      <c r="E106" s="11">
        <v>150000</v>
      </c>
      <c r="F106" s="32"/>
      <c r="G106" s="32"/>
      <c r="H106" s="32"/>
      <c r="I106" s="32"/>
      <c r="J106" s="32"/>
      <c r="K106" s="32"/>
      <c r="L106" s="32"/>
      <c r="M106" s="6">
        <f t="shared" si="4"/>
        <v>0</v>
      </c>
    </row>
    <row r="107" spans="1:13" x14ac:dyDescent="0.25">
      <c r="A107" s="14">
        <v>98</v>
      </c>
      <c r="B107" s="12" t="s">
        <v>209</v>
      </c>
      <c r="C107" s="2" t="s">
        <v>210</v>
      </c>
      <c r="D107" s="14" t="s">
        <v>211</v>
      </c>
      <c r="E107" s="6">
        <v>20000</v>
      </c>
      <c r="F107" s="32"/>
      <c r="G107" s="32"/>
      <c r="H107" s="32"/>
      <c r="I107" s="32"/>
      <c r="J107" s="32"/>
      <c r="K107" s="32"/>
      <c r="L107" s="32"/>
      <c r="M107" s="6">
        <f t="shared" si="4"/>
        <v>0</v>
      </c>
    </row>
    <row r="108" spans="1:13" x14ac:dyDescent="0.25">
      <c r="A108" s="14">
        <v>99</v>
      </c>
      <c r="B108" s="12" t="s">
        <v>212</v>
      </c>
      <c r="C108" s="2" t="s">
        <v>213</v>
      </c>
      <c r="D108" s="14" t="s">
        <v>211</v>
      </c>
      <c r="E108" s="6">
        <v>40000</v>
      </c>
      <c r="F108" s="32"/>
      <c r="G108" s="32"/>
      <c r="H108" s="32"/>
      <c r="I108" s="32"/>
      <c r="J108" s="32"/>
      <c r="K108" s="32"/>
      <c r="L108" s="32"/>
      <c r="M108" s="6">
        <f t="shared" si="4"/>
        <v>0</v>
      </c>
    </row>
    <row r="109" spans="1:13" x14ac:dyDescent="0.25">
      <c r="A109" s="14">
        <v>100</v>
      </c>
      <c r="B109" s="12" t="s">
        <v>214</v>
      </c>
      <c r="C109" s="2" t="s">
        <v>215</v>
      </c>
      <c r="D109" s="14" t="s">
        <v>211</v>
      </c>
      <c r="E109" s="6">
        <v>80000</v>
      </c>
      <c r="F109" s="32"/>
      <c r="G109" s="32"/>
      <c r="H109" s="32"/>
      <c r="I109" s="32"/>
      <c r="J109" s="32"/>
      <c r="K109" s="32"/>
      <c r="L109" s="32"/>
      <c r="M109" s="6">
        <f t="shared" si="4"/>
        <v>0</v>
      </c>
    </row>
    <row r="110" spans="1:13" x14ac:dyDescent="0.25">
      <c r="A110" s="14">
        <v>101</v>
      </c>
      <c r="B110" s="12" t="s">
        <v>216</v>
      </c>
      <c r="C110" s="2" t="s">
        <v>217</v>
      </c>
      <c r="D110" s="14" t="s">
        <v>211</v>
      </c>
      <c r="E110" s="6">
        <v>150000</v>
      </c>
      <c r="F110" s="32"/>
      <c r="G110" s="32"/>
      <c r="H110" s="32"/>
      <c r="I110" s="32"/>
      <c r="J110" s="32"/>
      <c r="K110" s="32"/>
      <c r="L110" s="32"/>
      <c r="M110" s="6">
        <f t="shared" si="4"/>
        <v>0</v>
      </c>
    </row>
    <row r="111" spans="1:13" ht="30" x14ac:dyDescent="0.25">
      <c r="A111" s="14">
        <v>102</v>
      </c>
      <c r="B111" s="12" t="s">
        <v>218</v>
      </c>
      <c r="C111" s="2" t="s">
        <v>219</v>
      </c>
      <c r="D111" s="14" t="s">
        <v>220</v>
      </c>
      <c r="E111" s="6">
        <v>15000</v>
      </c>
      <c r="F111" s="32">
        <f>F33*16</f>
        <v>512</v>
      </c>
      <c r="G111" s="32">
        <f t="shared" ref="G111:L112" si="9">G33*16</f>
        <v>1936</v>
      </c>
      <c r="H111" s="32">
        <f t="shared" si="9"/>
        <v>1280</v>
      </c>
      <c r="I111" s="32">
        <f t="shared" si="9"/>
        <v>1792</v>
      </c>
      <c r="J111" s="32"/>
      <c r="K111" s="32">
        <f t="shared" si="9"/>
        <v>640</v>
      </c>
      <c r="L111" s="32">
        <f t="shared" si="9"/>
        <v>1584</v>
      </c>
      <c r="M111" s="6">
        <f>(F111+G111+H111+I111+J111+K111+L111)*E111</f>
        <v>116160000</v>
      </c>
    </row>
    <row r="112" spans="1:13" ht="30" x14ac:dyDescent="0.25">
      <c r="A112" s="14">
        <v>103</v>
      </c>
      <c r="B112" s="12" t="s">
        <v>221</v>
      </c>
      <c r="C112" s="2" t="s">
        <v>222</v>
      </c>
      <c r="D112" s="14" t="s">
        <v>220</v>
      </c>
      <c r="E112" s="6">
        <v>5000</v>
      </c>
      <c r="F112" s="32">
        <f>F111</f>
        <v>512</v>
      </c>
      <c r="G112" s="32">
        <f t="shared" ref="G112:L112" si="10">G111</f>
        <v>1936</v>
      </c>
      <c r="H112" s="32">
        <f t="shared" si="10"/>
        <v>1280</v>
      </c>
      <c r="I112" s="32">
        <f t="shared" si="10"/>
        <v>1792</v>
      </c>
      <c r="J112" s="32">
        <f t="shared" si="10"/>
        <v>0</v>
      </c>
      <c r="K112" s="32">
        <f t="shared" si="10"/>
        <v>640</v>
      </c>
      <c r="L112" s="32">
        <f t="shared" si="10"/>
        <v>1584</v>
      </c>
      <c r="M112" s="6">
        <f t="shared" ref="M112:M114" si="11">(F112+G112+H112+I112+J112+K112+L112)*E112</f>
        <v>38720000</v>
      </c>
    </row>
    <row r="113" spans="1:13" ht="45" x14ac:dyDescent="0.25">
      <c r="A113" s="14">
        <v>104</v>
      </c>
      <c r="B113" s="1" t="s">
        <v>223</v>
      </c>
      <c r="C113" s="24" t="s">
        <v>224</v>
      </c>
      <c r="D113" s="14" t="s">
        <v>9</v>
      </c>
      <c r="E113" s="6">
        <v>1000</v>
      </c>
      <c r="F113" s="32"/>
      <c r="G113" s="32"/>
      <c r="H113" s="32"/>
      <c r="I113" s="32"/>
      <c r="J113" s="32"/>
      <c r="K113" s="32"/>
      <c r="L113" s="32"/>
      <c r="M113" s="6">
        <f t="shared" si="11"/>
        <v>0</v>
      </c>
    </row>
    <row r="114" spans="1:13" ht="45" x14ac:dyDescent="0.25">
      <c r="A114" s="23">
        <v>105</v>
      </c>
      <c r="B114" s="16" t="s">
        <v>225</v>
      </c>
      <c r="C114" s="25" t="s">
        <v>226</v>
      </c>
      <c r="D114" s="23" t="s">
        <v>220</v>
      </c>
      <c r="E114" s="11">
        <v>2000000</v>
      </c>
      <c r="F114" s="32">
        <v>1</v>
      </c>
      <c r="G114" s="32"/>
      <c r="H114" s="32"/>
      <c r="I114" s="32"/>
      <c r="J114" s="32">
        <v>1</v>
      </c>
      <c r="K114" s="32"/>
      <c r="L114" s="32"/>
      <c r="M114" s="6">
        <f t="shared" si="11"/>
        <v>4000000</v>
      </c>
    </row>
    <row r="115" spans="1:13" ht="15.75" x14ac:dyDescent="0.25">
      <c r="A115" s="55" t="s">
        <v>227</v>
      </c>
      <c r="B115" s="55"/>
      <c r="C115" s="55"/>
      <c r="D115" s="55"/>
      <c r="E115" s="55"/>
      <c r="F115" s="15">
        <f>SUMPRODUCT($E$8:$E$114,F8:F114)</f>
        <v>244700620</v>
      </c>
      <c r="G115" s="15">
        <f t="shared" ref="G115:L115" si="12">SUMPRODUCT($E$8:$E$114,G8:G114)</f>
        <v>388896660</v>
      </c>
      <c r="H115" s="15">
        <f t="shared" si="12"/>
        <v>341522828</v>
      </c>
      <c r="I115" s="15">
        <f t="shared" si="12"/>
        <v>349249832</v>
      </c>
      <c r="J115" s="15">
        <f t="shared" si="12"/>
        <v>773192960</v>
      </c>
      <c r="K115" s="15">
        <f t="shared" si="12"/>
        <v>110936035</v>
      </c>
      <c r="L115" s="15">
        <f t="shared" si="12"/>
        <v>167034012</v>
      </c>
      <c r="M115" s="15">
        <f>SUM(M8:M114)</f>
        <v>2375532947</v>
      </c>
    </row>
  </sheetData>
  <autoFilter ref="A7:M115" xr:uid="{655777DE-B46C-4F32-98EE-038AE69E1C17}"/>
  <mergeCells count="18">
    <mergeCell ref="A3:M3"/>
    <mergeCell ref="G4:G5"/>
    <mergeCell ref="H4:H5"/>
    <mergeCell ref="A6:M6"/>
    <mergeCell ref="A4:A5"/>
    <mergeCell ref="B4:B5"/>
    <mergeCell ref="C4:C5"/>
    <mergeCell ref="D4:D5"/>
    <mergeCell ref="E4:E5"/>
    <mergeCell ref="I4:I5"/>
    <mergeCell ref="J4:J5"/>
    <mergeCell ref="K4:K5"/>
    <mergeCell ref="L4:L5"/>
    <mergeCell ref="A115:E115"/>
    <mergeCell ref="A75:E75"/>
    <mergeCell ref="A96:E96"/>
    <mergeCell ref="F4:F5"/>
    <mergeCell ref="M4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0EE4-239A-4AF6-AA4B-6A1200385C9C}">
  <dimension ref="A1:L16"/>
  <sheetViews>
    <sheetView showGridLines="0" tabSelected="1" workbookViewId="0">
      <selection activeCell="C12" sqref="C12"/>
    </sheetView>
  </sheetViews>
  <sheetFormatPr defaultRowHeight="15" x14ac:dyDescent="0.25"/>
  <cols>
    <col min="2" max="2" width="14.140625" bestFit="1" customWidth="1"/>
    <col min="3" max="3" width="41.85546875" bestFit="1" customWidth="1"/>
    <col min="4" max="5" width="16.5703125" bestFit="1" customWidth="1"/>
  </cols>
  <sheetData>
    <row r="1" spans="1:12" x14ac:dyDescent="0.25">
      <c r="A1" s="50" t="s">
        <v>1</v>
      </c>
      <c r="B1" s="50" t="s">
        <v>238</v>
      </c>
      <c r="C1" s="50" t="s">
        <v>237</v>
      </c>
      <c r="D1" s="50" t="s">
        <v>241</v>
      </c>
      <c r="E1" s="50" t="s">
        <v>242</v>
      </c>
    </row>
    <row r="2" spans="1:12" x14ac:dyDescent="0.25">
      <c r="A2" s="54">
        <v>1</v>
      </c>
      <c r="B2" s="51" t="s">
        <v>239</v>
      </c>
      <c r="C2" s="51" t="s">
        <v>249</v>
      </c>
      <c r="D2" s="52">
        <f>RAB!F115</f>
        <v>244700620</v>
      </c>
      <c r="E2" s="52">
        <f>MANDOR!F92</f>
        <v>111575730</v>
      </c>
    </row>
    <row r="3" spans="1:12" x14ac:dyDescent="0.25">
      <c r="A3" s="54">
        <v>2</v>
      </c>
      <c r="B3" s="51" t="s">
        <v>240</v>
      </c>
      <c r="C3" s="51" t="s">
        <v>248</v>
      </c>
      <c r="D3" s="52">
        <f>RAB!G115</f>
        <v>388896660</v>
      </c>
      <c r="E3" s="52">
        <f>MANDOR!G92</f>
        <v>145245730</v>
      </c>
    </row>
    <row r="4" spans="1:12" x14ac:dyDescent="0.25">
      <c r="A4" s="54">
        <v>3</v>
      </c>
      <c r="B4" s="51" t="s">
        <v>240</v>
      </c>
      <c r="C4" s="51" t="s">
        <v>247</v>
      </c>
      <c r="D4" s="52">
        <f>RAB!H115</f>
        <v>341522828</v>
      </c>
      <c r="E4" s="52">
        <f>MANDOR!H92</f>
        <v>127995230</v>
      </c>
    </row>
    <row r="5" spans="1:12" x14ac:dyDescent="0.25">
      <c r="A5" s="54">
        <v>4</v>
      </c>
      <c r="B5" s="51" t="s">
        <v>240</v>
      </c>
      <c r="C5" t="s">
        <v>246</v>
      </c>
      <c r="D5" s="52">
        <f>RAB!I115</f>
        <v>349249832</v>
      </c>
      <c r="E5" s="52">
        <f>MANDOR!I92</f>
        <v>137912960</v>
      </c>
    </row>
    <row r="6" spans="1:12" x14ac:dyDescent="0.25">
      <c r="A6" s="54">
        <v>5</v>
      </c>
      <c r="B6" s="51" t="s">
        <v>240</v>
      </c>
      <c r="C6" s="51" t="s">
        <v>245</v>
      </c>
      <c r="D6" s="52">
        <f>RAB!J115</f>
        <v>773192960</v>
      </c>
      <c r="E6" s="52">
        <f>MANDOR!J92</f>
        <v>382881580</v>
      </c>
    </row>
    <row r="7" spans="1:12" x14ac:dyDescent="0.25">
      <c r="A7" s="54">
        <v>6</v>
      </c>
      <c r="B7" s="77" t="s">
        <v>244</v>
      </c>
      <c r="C7" s="51" t="s">
        <v>250</v>
      </c>
      <c r="D7" s="52">
        <f>RAB!K115</f>
        <v>110936035</v>
      </c>
      <c r="E7" s="52">
        <f>MANDOR!K92</f>
        <v>43947584.5</v>
      </c>
    </row>
    <row r="8" spans="1:12" x14ac:dyDescent="0.25">
      <c r="A8" s="54">
        <v>7</v>
      </c>
      <c r="B8" s="77" t="s">
        <v>244</v>
      </c>
      <c r="C8" s="51" t="s">
        <v>251</v>
      </c>
      <c r="D8" s="52">
        <f>RAB!L115</f>
        <v>167034012</v>
      </c>
      <c r="E8" s="52">
        <f>MANDOR!L92</f>
        <v>68001230</v>
      </c>
    </row>
    <row r="9" spans="1:12" x14ac:dyDescent="0.25">
      <c r="A9" s="67" t="s">
        <v>227</v>
      </c>
      <c r="B9" s="67"/>
      <c r="C9" s="67"/>
      <c r="D9" s="53">
        <f>SUM(D2:D8)</f>
        <v>2375532947</v>
      </c>
      <c r="E9" s="53">
        <f>SUM(E2:E8)</f>
        <v>1017560044.5</v>
      </c>
    </row>
    <row r="10" spans="1:12" ht="15.75" x14ac:dyDescent="0.25">
      <c r="C10" s="80" t="s">
        <v>252</v>
      </c>
      <c r="D10" s="53">
        <f>D9-E9</f>
        <v>1357972902.5</v>
      </c>
    </row>
    <row r="16" spans="1:12" x14ac:dyDescent="0.25">
      <c r="L16" t="s">
        <v>243</v>
      </c>
    </row>
  </sheetData>
  <mergeCells count="1"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A72E-39BF-4527-8005-A06338C3C9EE}">
  <dimension ref="B2:M92"/>
  <sheetViews>
    <sheetView topLeftCell="C73" zoomScale="55" zoomScaleNormal="55" workbookViewId="0">
      <selection activeCell="H94" sqref="H94"/>
    </sheetView>
  </sheetViews>
  <sheetFormatPr defaultRowHeight="15" x14ac:dyDescent="0.25"/>
  <cols>
    <col min="2" max="2" width="34.5703125" bestFit="1" customWidth="1"/>
    <col min="3" max="3" width="91" style="27" customWidth="1"/>
    <col min="4" max="4" width="10.85546875" bestFit="1" customWidth="1"/>
    <col min="5" max="5" width="22.140625" customWidth="1"/>
    <col min="6" max="6" width="26.85546875" bestFit="1" customWidth="1"/>
    <col min="7" max="7" width="26" bestFit="1" customWidth="1"/>
    <col min="8" max="8" width="23.7109375" bestFit="1" customWidth="1"/>
    <col min="9" max="12" width="23.7109375" customWidth="1"/>
    <col min="13" max="13" width="25.28515625" bestFit="1" customWidth="1"/>
  </cols>
  <sheetData>
    <row r="2" spans="2:13" ht="24" customHeight="1" x14ac:dyDescent="0.25">
      <c r="B2" s="73" t="s">
        <v>2</v>
      </c>
      <c r="C2" s="75" t="s">
        <v>3</v>
      </c>
      <c r="D2" s="73" t="s">
        <v>4</v>
      </c>
      <c r="E2" s="70" t="s">
        <v>231</v>
      </c>
      <c r="F2" s="68" t="s">
        <v>228</v>
      </c>
      <c r="G2" s="68" t="s">
        <v>229</v>
      </c>
      <c r="H2" s="68" t="s">
        <v>230</v>
      </c>
      <c r="I2" s="68" t="s">
        <v>246</v>
      </c>
      <c r="J2" s="68" t="s">
        <v>245</v>
      </c>
      <c r="K2" s="68" t="s">
        <v>250</v>
      </c>
      <c r="L2" s="68" t="s">
        <v>251</v>
      </c>
      <c r="M2" s="70" t="s">
        <v>227</v>
      </c>
    </row>
    <row r="3" spans="2:13" ht="24" customHeight="1" x14ac:dyDescent="0.25">
      <c r="B3" s="74"/>
      <c r="C3" s="76"/>
      <c r="D3" s="74"/>
      <c r="E3" s="71"/>
      <c r="F3" s="69"/>
      <c r="G3" s="69"/>
      <c r="H3" s="69"/>
      <c r="I3" s="69" t="s">
        <v>246</v>
      </c>
      <c r="J3" s="69" t="s">
        <v>245</v>
      </c>
      <c r="K3" s="69" t="s">
        <v>250</v>
      </c>
      <c r="L3" s="69" t="s">
        <v>251</v>
      </c>
      <c r="M3" s="71"/>
    </row>
    <row r="4" spans="2:13" ht="15.75" x14ac:dyDescent="0.25">
      <c r="B4" s="48"/>
      <c r="C4" s="49"/>
      <c r="D4" s="48"/>
      <c r="E4" s="48"/>
      <c r="F4" s="29"/>
      <c r="G4" s="29"/>
      <c r="H4" s="29"/>
      <c r="I4" s="29"/>
      <c r="J4" s="29"/>
      <c r="K4" s="29"/>
      <c r="L4" s="29"/>
      <c r="M4" s="29"/>
    </row>
    <row r="5" spans="2:13" ht="30" x14ac:dyDescent="0.25">
      <c r="B5" s="1" t="s">
        <v>7</v>
      </c>
      <c r="C5" s="34" t="s">
        <v>8</v>
      </c>
      <c r="D5" s="3" t="s">
        <v>9</v>
      </c>
      <c r="E5" s="35">
        <v>2000</v>
      </c>
      <c r="F5" s="29">
        <f>VLOOKUP(B5,RAB!$B$8:$H$111,5,0)</f>
        <v>900</v>
      </c>
      <c r="G5" s="29">
        <f>VLOOKUP(B5,RAB!$B$8:$H$111,6,0)</f>
        <v>4694</v>
      </c>
      <c r="H5" s="29">
        <f>VLOOKUP(B5,RAB!$B$8:$H$111,7,0)</f>
        <v>4861</v>
      </c>
      <c r="I5" s="29">
        <f>VLOOKUP(B5,RAB!$B$8:$L$114,8,0)</f>
        <v>5360</v>
      </c>
      <c r="J5" s="29">
        <f>VLOOKUP(B5,RAB!$B$8:$L$114,9,0)</f>
        <v>0</v>
      </c>
      <c r="K5" s="29">
        <f>VLOOKUP(B5,RAB!$B$8:$L$114,10,0)</f>
        <v>4300</v>
      </c>
      <c r="L5" s="29">
        <f>VLOOKUP(B5,RAB!$B$8:$L$114,11,0)</f>
        <v>2237</v>
      </c>
      <c r="M5" s="45">
        <f>(H5+G5+F5+I5+J5+K5+L5)*E5</f>
        <v>44704000</v>
      </c>
    </row>
    <row r="6" spans="2:13" ht="30" x14ac:dyDescent="0.25">
      <c r="B6" s="1" t="s">
        <v>10</v>
      </c>
      <c r="C6" s="36" t="s">
        <v>11</v>
      </c>
      <c r="D6" s="3" t="s">
        <v>9</v>
      </c>
      <c r="E6" s="35">
        <v>2000</v>
      </c>
      <c r="F6" s="29">
        <f>VLOOKUP(B6,RAB!$B$8:$H$111,5,0)</f>
        <v>3152</v>
      </c>
      <c r="G6" s="29">
        <f>VLOOKUP(B6,RAB!$B$8:$H$111,6,0)</f>
        <v>12788</v>
      </c>
      <c r="H6" s="29">
        <f>VLOOKUP(B6,RAB!$B$8:$H$111,7,0)</f>
        <v>13354</v>
      </c>
      <c r="I6" s="29">
        <f>VLOOKUP(B6,RAB!$B$8:$L$114,8,0)</f>
        <v>10020</v>
      </c>
      <c r="J6" s="29">
        <f>VLOOKUP(B6,RAB!$B$8:$L$114,9,0)</f>
        <v>0</v>
      </c>
      <c r="K6" s="29">
        <f>VLOOKUP(B6,RAB!$B$8:$L$114,10,0)</f>
        <v>1277</v>
      </c>
      <c r="L6" s="29">
        <f>VLOOKUP(B6,RAB!$B$8:$L$114,11,0)</f>
        <v>4632</v>
      </c>
      <c r="M6" s="45">
        <f t="shared" ref="M6:M69" si="0">(H6+G6+F6+I6+J6+K6+L6)*E6</f>
        <v>90446000</v>
      </c>
    </row>
    <row r="7" spans="2:13" ht="30" x14ac:dyDescent="0.25">
      <c r="B7" s="1" t="s">
        <v>12</v>
      </c>
      <c r="C7" s="36" t="s">
        <v>13</v>
      </c>
      <c r="D7" s="3" t="s">
        <v>9</v>
      </c>
      <c r="E7" s="35">
        <v>2000</v>
      </c>
      <c r="F7" s="29">
        <f>VLOOKUP(B7,RAB!$B$8:$H$111,5,0)</f>
        <v>0</v>
      </c>
      <c r="G7" s="29">
        <f>VLOOKUP(B7,RAB!$B$8:$H$111,6,0)</f>
        <v>5348</v>
      </c>
      <c r="H7" s="29">
        <f>VLOOKUP(B7,RAB!$B$8:$H$111,7,0)</f>
        <v>2706</v>
      </c>
      <c r="I7" s="29">
        <f>VLOOKUP(B7,RAB!$B$8:$L$114,8,0)</f>
        <v>3209</v>
      </c>
      <c r="J7" s="29">
        <f>VLOOKUP(B7,RAB!$B$8:$L$114,9,0)</f>
        <v>0</v>
      </c>
      <c r="K7" s="29">
        <f>VLOOKUP(B7,RAB!$B$8:$L$114,10,0)</f>
        <v>0</v>
      </c>
      <c r="L7" s="29">
        <f>VLOOKUP(B7,RAB!$B$8:$L$114,11,0)</f>
        <v>0</v>
      </c>
      <c r="M7" s="45">
        <f t="shared" si="0"/>
        <v>22526000</v>
      </c>
    </row>
    <row r="8" spans="2:13" ht="30" x14ac:dyDescent="0.25">
      <c r="B8" s="1" t="s">
        <v>14</v>
      </c>
      <c r="C8" s="36" t="s">
        <v>15</v>
      </c>
      <c r="D8" s="3" t="s">
        <v>9</v>
      </c>
      <c r="E8" s="35">
        <v>2000</v>
      </c>
      <c r="F8" s="29">
        <f>VLOOKUP(B8,RAB!$B$8:$H$111,5,0)</f>
        <v>0</v>
      </c>
      <c r="G8" s="29">
        <f>VLOOKUP(B8,RAB!$B$8:$H$111,6,0)</f>
        <v>0</v>
      </c>
      <c r="H8" s="29">
        <f>VLOOKUP(B8,RAB!$B$8:$H$111,7,0)</f>
        <v>0</v>
      </c>
      <c r="I8" s="29">
        <f>VLOOKUP(B8,RAB!$B$8:$L$114,8,0)</f>
        <v>2292</v>
      </c>
      <c r="J8" s="29">
        <f>VLOOKUP(B8,RAB!$B$8:$L$114,9,0)</f>
        <v>17738</v>
      </c>
      <c r="K8" s="29">
        <f>VLOOKUP(B8,RAB!$B$8:$L$114,10,0)</f>
        <v>0</v>
      </c>
      <c r="L8" s="29">
        <f>VLOOKUP(B8,RAB!$B$8:$L$114,11,0)</f>
        <v>0</v>
      </c>
      <c r="M8" s="45">
        <f t="shared" si="0"/>
        <v>40060000</v>
      </c>
    </row>
    <row r="9" spans="2:13" ht="30" x14ac:dyDescent="0.25">
      <c r="B9" s="1" t="s">
        <v>16</v>
      </c>
      <c r="C9" s="36" t="s">
        <v>17</v>
      </c>
      <c r="D9" s="3" t="s">
        <v>9</v>
      </c>
      <c r="E9" s="35">
        <v>1900</v>
      </c>
      <c r="F9" s="29">
        <f>VLOOKUP(B9,RAB!$B$8:$H$111,5,0)</f>
        <v>3532</v>
      </c>
      <c r="G9" s="29">
        <f>VLOOKUP(B9,RAB!$B$8:$H$111,6,0)</f>
        <v>0</v>
      </c>
      <c r="H9" s="29">
        <f>VLOOKUP(B9,RAB!$B$8:$H$111,7,0)</f>
        <v>0</v>
      </c>
      <c r="I9" s="29">
        <f>VLOOKUP(B9,RAB!$B$8:$L$114,8,0)</f>
        <v>0</v>
      </c>
      <c r="J9" s="29">
        <f>VLOOKUP(B9,RAB!$B$8:$L$114,9,0)</f>
        <v>0</v>
      </c>
      <c r="K9" s="29">
        <f>VLOOKUP(B9,RAB!$B$8:$L$114,10,0)</f>
        <v>0</v>
      </c>
      <c r="L9" s="29">
        <f>VLOOKUP(B9,RAB!$B$8:$L$114,11,0)</f>
        <v>0</v>
      </c>
      <c r="M9" s="45">
        <f t="shared" si="0"/>
        <v>6710800</v>
      </c>
    </row>
    <row r="10" spans="2:13" ht="30" x14ac:dyDescent="0.25">
      <c r="B10" s="1" t="s">
        <v>18</v>
      </c>
      <c r="C10" s="36" t="s">
        <v>19</v>
      </c>
      <c r="D10" s="3" t="s">
        <v>9</v>
      </c>
      <c r="E10" s="35">
        <v>1900</v>
      </c>
      <c r="F10" s="29">
        <f>VLOOKUP(B10,RAB!$B$8:$H$111,5,0)</f>
        <v>0</v>
      </c>
      <c r="G10" s="29">
        <f>VLOOKUP(B10,RAB!$B$8:$H$111,6,0)</f>
        <v>0</v>
      </c>
      <c r="H10" s="29">
        <f>VLOOKUP(B10,RAB!$B$8:$H$111,7,0)</f>
        <v>0</v>
      </c>
      <c r="I10" s="29">
        <f>VLOOKUP(B10,RAB!$B$8:$L$114,8,0)</f>
        <v>0</v>
      </c>
      <c r="J10" s="29">
        <f>VLOOKUP(B10,RAB!$B$8:$L$114,9,0)</f>
        <v>0</v>
      </c>
      <c r="K10" s="29">
        <f>VLOOKUP(B10,RAB!$B$8:$L$114,10,0)</f>
        <v>0</v>
      </c>
      <c r="L10" s="29">
        <f>VLOOKUP(B10,RAB!$B$8:$L$114,11,0)</f>
        <v>0</v>
      </c>
      <c r="M10" s="45">
        <f t="shared" si="0"/>
        <v>0</v>
      </c>
    </row>
    <row r="11" spans="2:13" ht="15.75" x14ac:dyDescent="0.25">
      <c r="B11" s="1" t="s">
        <v>20</v>
      </c>
      <c r="C11" s="34" t="s">
        <v>21</v>
      </c>
      <c r="D11" s="3" t="s">
        <v>22</v>
      </c>
      <c r="E11" s="35">
        <v>20000</v>
      </c>
      <c r="F11" s="29">
        <f>VLOOKUP(B11,RAB!$B$8:$H$111,5,0)</f>
        <v>0</v>
      </c>
      <c r="G11" s="29">
        <f>VLOOKUP(B11,RAB!$B$8:$H$111,6,0)</f>
        <v>0</v>
      </c>
      <c r="H11" s="29">
        <f>VLOOKUP(B11,RAB!$B$8:$H$111,7,0)</f>
        <v>0</v>
      </c>
      <c r="I11" s="29">
        <f>VLOOKUP(B11,RAB!$B$8:$L$114,8,0)</f>
        <v>0</v>
      </c>
      <c r="J11" s="29">
        <f>VLOOKUP(B11,RAB!$B$8:$L$114,9,0)</f>
        <v>0</v>
      </c>
      <c r="K11" s="29">
        <f>VLOOKUP(B11,RAB!$B$8:$L$114,10,0)</f>
        <v>0</v>
      </c>
      <c r="L11" s="29">
        <f>VLOOKUP(B11,RAB!$B$8:$L$114,11,0)</f>
        <v>0</v>
      </c>
      <c r="M11" s="45">
        <f t="shared" si="0"/>
        <v>0</v>
      </c>
    </row>
    <row r="12" spans="2:13" ht="15.75" x14ac:dyDescent="0.25">
      <c r="B12" s="1" t="s">
        <v>23</v>
      </c>
      <c r="C12" s="34" t="s">
        <v>24</v>
      </c>
      <c r="D12" s="3" t="s">
        <v>22</v>
      </c>
      <c r="E12" s="35">
        <v>20000</v>
      </c>
      <c r="F12" s="29">
        <f>VLOOKUP(B12,RAB!$B$8:$H$111,5,0)</f>
        <v>0</v>
      </c>
      <c r="G12" s="29">
        <f>VLOOKUP(B12,RAB!$B$8:$H$111,6,0)</f>
        <v>0</v>
      </c>
      <c r="H12" s="29">
        <f>VLOOKUP(B12,RAB!$B$8:$H$111,7,0)</f>
        <v>0</v>
      </c>
      <c r="I12" s="29">
        <f>VLOOKUP(B12,RAB!$B$8:$L$114,8,0)</f>
        <v>2</v>
      </c>
      <c r="J12" s="29">
        <f>VLOOKUP(B12,RAB!$B$8:$L$114,9,0)</f>
        <v>0</v>
      </c>
      <c r="K12" s="29">
        <f>VLOOKUP(B12,RAB!$B$8:$L$114,10,0)</f>
        <v>0</v>
      </c>
      <c r="L12" s="29">
        <f>VLOOKUP(B12,RAB!$B$8:$L$114,11,0)</f>
        <v>2</v>
      </c>
      <c r="M12" s="45">
        <f t="shared" si="0"/>
        <v>80000</v>
      </c>
    </row>
    <row r="13" spans="2:13" ht="15.75" x14ac:dyDescent="0.25">
      <c r="B13" s="1" t="s">
        <v>25</v>
      </c>
      <c r="C13" s="34" t="s">
        <v>26</v>
      </c>
      <c r="D13" s="3" t="s">
        <v>22</v>
      </c>
      <c r="E13" s="35">
        <v>25000</v>
      </c>
      <c r="F13" s="29">
        <f>VLOOKUP(B13,RAB!$B$8:$H$111,5,0)</f>
        <v>0</v>
      </c>
      <c r="G13" s="29">
        <f>VLOOKUP(B13,RAB!$B$8:$H$111,6,0)</f>
        <v>2</v>
      </c>
      <c r="H13" s="29">
        <f>VLOOKUP(B13,RAB!$B$8:$H$111,7,0)</f>
        <v>2</v>
      </c>
      <c r="I13" s="29">
        <f>VLOOKUP(B13,RAB!$B$8:$L$114,8,0)</f>
        <v>2</v>
      </c>
      <c r="J13" s="29">
        <f>VLOOKUP(B13,RAB!$B$8:$L$114,9,0)</f>
        <v>0</v>
      </c>
      <c r="K13" s="29">
        <f>VLOOKUP(B13,RAB!$B$8:$L$114,10,0)</f>
        <v>1</v>
      </c>
      <c r="L13" s="29">
        <f>VLOOKUP(B13,RAB!$B$8:$L$114,11,0)</f>
        <v>0</v>
      </c>
      <c r="M13" s="45">
        <f t="shared" si="0"/>
        <v>175000</v>
      </c>
    </row>
    <row r="14" spans="2:13" ht="15.75" x14ac:dyDescent="0.25">
      <c r="B14" s="1" t="s">
        <v>27</v>
      </c>
      <c r="C14" s="34" t="s">
        <v>28</v>
      </c>
      <c r="D14" s="3" t="s">
        <v>22</v>
      </c>
      <c r="E14" s="35">
        <v>25000</v>
      </c>
      <c r="F14" s="29">
        <f>VLOOKUP(B14,RAB!$B$8:$H$111,5,0)</f>
        <v>0</v>
      </c>
      <c r="G14" s="29">
        <f>VLOOKUP(B14,RAB!$B$8:$H$111,6,0)</f>
        <v>1</v>
      </c>
      <c r="H14" s="29">
        <f>VLOOKUP(B14,RAB!$B$8:$H$111,7,0)</f>
        <v>0</v>
      </c>
      <c r="I14" s="29">
        <f>VLOOKUP(B14,RAB!$B$8:$L$114,8,0)</f>
        <v>1</v>
      </c>
      <c r="J14" s="29">
        <f>VLOOKUP(B14,RAB!$B$8:$L$114,9,0)</f>
        <v>6</v>
      </c>
      <c r="K14" s="29">
        <f>VLOOKUP(B14,RAB!$B$8:$L$114,10,0)</f>
        <v>0</v>
      </c>
      <c r="L14" s="29">
        <f>VLOOKUP(B14,RAB!$B$8:$L$114,11,0)</f>
        <v>0</v>
      </c>
      <c r="M14" s="45">
        <f t="shared" si="0"/>
        <v>200000</v>
      </c>
    </row>
    <row r="15" spans="2:13" ht="15.75" x14ac:dyDescent="0.25">
      <c r="B15" s="1" t="s">
        <v>29</v>
      </c>
      <c r="C15" s="34" t="s">
        <v>30</v>
      </c>
      <c r="D15" s="3" t="s">
        <v>22</v>
      </c>
      <c r="E15" s="35">
        <v>26000</v>
      </c>
      <c r="F15" s="29">
        <f>VLOOKUP(B15,RAB!$B$8:$H$111,5,0)</f>
        <v>1</v>
      </c>
      <c r="G15" s="29">
        <f>VLOOKUP(B15,RAB!$B$8:$H$111,6,0)</f>
        <v>0</v>
      </c>
      <c r="H15" s="29">
        <f>VLOOKUP(B15,RAB!$B$8:$H$111,7,0)</f>
        <v>0</v>
      </c>
      <c r="I15" s="29">
        <f>VLOOKUP(B15,RAB!$B$8:$L$114,8,0)</f>
        <v>0</v>
      </c>
      <c r="J15" s="29">
        <f>VLOOKUP(B15,RAB!$B$8:$L$114,9,0)</f>
        <v>0</v>
      </c>
      <c r="K15" s="29">
        <f>VLOOKUP(B15,RAB!$B$8:$L$114,10,0)</f>
        <v>0</v>
      </c>
      <c r="L15" s="29">
        <f>VLOOKUP(B15,RAB!$B$8:$L$114,11,0)</f>
        <v>0</v>
      </c>
      <c r="M15" s="45">
        <f t="shared" si="0"/>
        <v>26000</v>
      </c>
    </row>
    <row r="16" spans="2:13" ht="15.75" x14ac:dyDescent="0.25">
      <c r="B16" s="1" t="s">
        <v>31</v>
      </c>
      <c r="C16" s="34" t="s">
        <v>32</v>
      </c>
      <c r="D16" s="3" t="s">
        <v>22</v>
      </c>
      <c r="E16" s="35">
        <v>28000</v>
      </c>
      <c r="F16" s="29">
        <f>VLOOKUP(B16,RAB!$B$8:$H$111,5,0)</f>
        <v>0</v>
      </c>
      <c r="G16" s="29">
        <f>VLOOKUP(B16,RAB!$B$8:$H$111,6,0)</f>
        <v>0</v>
      </c>
      <c r="H16" s="29">
        <f>VLOOKUP(B16,RAB!$B$8:$H$111,7,0)</f>
        <v>0</v>
      </c>
      <c r="I16" s="29">
        <f>VLOOKUP(B16,RAB!$B$8:$L$114,8,0)</f>
        <v>0</v>
      </c>
      <c r="J16" s="29">
        <f>VLOOKUP(B16,RAB!$B$8:$L$114,9,0)</f>
        <v>0</v>
      </c>
      <c r="K16" s="29">
        <f>VLOOKUP(B16,RAB!$B$8:$L$114,10,0)</f>
        <v>0</v>
      </c>
      <c r="L16" s="29">
        <f>VLOOKUP(B16,RAB!$B$8:$L$114,11,0)</f>
        <v>0</v>
      </c>
      <c r="M16" s="45">
        <f t="shared" si="0"/>
        <v>0</v>
      </c>
    </row>
    <row r="17" spans="2:13" ht="30" x14ac:dyDescent="0.25">
      <c r="B17" s="1" t="s">
        <v>33</v>
      </c>
      <c r="C17" s="37" t="s">
        <v>34</v>
      </c>
      <c r="D17" s="3" t="s">
        <v>22</v>
      </c>
      <c r="E17" s="35">
        <v>15000</v>
      </c>
      <c r="F17" s="29">
        <f>VLOOKUP(B17,RAB!$B$8:$H$111,5,0)</f>
        <v>0</v>
      </c>
      <c r="G17" s="29">
        <f>VLOOKUP(B17,RAB!$B$8:$H$111,6,0)</f>
        <v>0</v>
      </c>
      <c r="H17" s="29">
        <f>VLOOKUP(B17,RAB!$B$8:$H$111,7,0)</f>
        <v>0</v>
      </c>
      <c r="I17" s="29">
        <f>VLOOKUP(B17,RAB!$B$8:$L$114,8,0)</f>
        <v>0</v>
      </c>
      <c r="J17" s="29">
        <f>VLOOKUP(B17,RAB!$B$8:$L$114,9,0)</f>
        <v>0</v>
      </c>
      <c r="K17" s="29">
        <f>VLOOKUP(B17,RAB!$B$8:$L$114,10,0)</f>
        <v>0</v>
      </c>
      <c r="L17" s="29">
        <f>VLOOKUP(B17,RAB!$B$8:$L$114,11,0)</f>
        <v>0</v>
      </c>
      <c r="M17" s="45">
        <f t="shared" si="0"/>
        <v>0</v>
      </c>
    </row>
    <row r="18" spans="2:13" ht="30" x14ac:dyDescent="0.25">
      <c r="B18" s="1" t="s">
        <v>35</v>
      </c>
      <c r="C18" s="37" t="s">
        <v>34</v>
      </c>
      <c r="D18" s="3" t="s">
        <v>22</v>
      </c>
      <c r="E18" s="35">
        <v>15000</v>
      </c>
      <c r="F18" s="29">
        <f>VLOOKUP(B18,RAB!$B$8:$H$111,5,0)</f>
        <v>0</v>
      </c>
      <c r="G18" s="29">
        <f>VLOOKUP(B18,RAB!$B$8:$H$111,6,0)</f>
        <v>0</v>
      </c>
      <c r="H18" s="29">
        <f>VLOOKUP(B18,RAB!$B$8:$H$111,7,0)</f>
        <v>0</v>
      </c>
      <c r="I18" s="29">
        <f>VLOOKUP(B18,RAB!$B$8:$L$114,8,0)</f>
        <v>0</v>
      </c>
      <c r="J18" s="29">
        <f>VLOOKUP(B18,RAB!$B$8:$L$114,9,0)</f>
        <v>0</v>
      </c>
      <c r="K18" s="29">
        <f>VLOOKUP(B18,RAB!$B$8:$L$114,10,0)</f>
        <v>0</v>
      </c>
      <c r="L18" s="29">
        <f>VLOOKUP(B18,RAB!$B$8:$L$114,11,0)</f>
        <v>0</v>
      </c>
      <c r="M18" s="45">
        <f t="shared" si="0"/>
        <v>0</v>
      </c>
    </row>
    <row r="19" spans="2:13" ht="30" x14ac:dyDescent="0.25">
      <c r="B19" s="1" t="s">
        <v>36</v>
      </c>
      <c r="C19" s="37" t="s">
        <v>34</v>
      </c>
      <c r="D19" s="3" t="s">
        <v>22</v>
      </c>
      <c r="E19" s="35">
        <v>22000</v>
      </c>
      <c r="F19" s="29">
        <f>VLOOKUP(B19,RAB!$B$8:$H$111,5,0)</f>
        <v>0</v>
      </c>
      <c r="G19" s="29">
        <f>VLOOKUP(B19,RAB!$B$8:$H$111,6,0)</f>
        <v>0</v>
      </c>
      <c r="H19" s="29">
        <f>VLOOKUP(B19,RAB!$B$8:$H$111,7,0)</f>
        <v>0</v>
      </c>
      <c r="I19" s="29">
        <f>VLOOKUP(B19,RAB!$B$8:$L$114,8,0)</f>
        <v>0</v>
      </c>
      <c r="J19" s="29">
        <f>VLOOKUP(B19,RAB!$B$8:$L$114,9,0)</f>
        <v>0</v>
      </c>
      <c r="K19" s="29">
        <f>VLOOKUP(B19,RAB!$B$8:$L$114,10,0)</f>
        <v>0</v>
      </c>
      <c r="L19" s="29">
        <f>VLOOKUP(B19,RAB!$B$8:$L$114,11,0)</f>
        <v>0</v>
      </c>
      <c r="M19" s="45">
        <f t="shared" si="0"/>
        <v>0</v>
      </c>
    </row>
    <row r="20" spans="2:13" ht="30" x14ac:dyDescent="0.25">
      <c r="B20" s="1" t="s">
        <v>37</v>
      </c>
      <c r="C20" s="37" t="s">
        <v>38</v>
      </c>
      <c r="D20" s="3" t="s">
        <v>22</v>
      </c>
      <c r="E20" s="35">
        <v>30000</v>
      </c>
      <c r="F20" s="29">
        <f>VLOOKUP(B20,RAB!$B$8:$H$111,5,0)</f>
        <v>0</v>
      </c>
      <c r="G20" s="29">
        <f>VLOOKUP(B20,RAB!$B$8:$H$111,6,0)</f>
        <v>0</v>
      </c>
      <c r="H20" s="29">
        <f>VLOOKUP(B20,RAB!$B$8:$H$111,7,0)</f>
        <v>0</v>
      </c>
      <c r="I20" s="29">
        <f>VLOOKUP(B20,RAB!$B$8:$L$114,8,0)</f>
        <v>0</v>
      </c>
      <c r="J20" s="29">
        <f>VLOOKUP(B20,RAB!$B$8:$L$114,9,0)</f>
        <v>0</v>
      </c>
      <c r="K20" s="29">
        <f>VLOOKUP(B20,RAB!$B$8:$L$114,10,0)</f>
        <v>0</v>
      </c>
      <c r="L20" s="29">
        <f>VLOOKUP(B20,RAB!$B$8:$L$114,11,0)</f>
        <v>0</v>
      </c>
      <c r="M20" s="45">
        <f t="shared" si="0"/>
        <v>0</v>
      </c>
    </row>
    <row r="21" spans="2:13" ht="30" x14ac:dyDescent="0.25">
      <c r="B21" s="1" t="s">
        <v>39</v>
      </c>
      <c r="C21" s="37" t="s">
        <v>40</v>
      </c>
      <c r="D21" s="3" t="s">
        <v>22</v>
      </c>
      <c r="E21" s="35">
        <v>30000</v>
      </c>
      <c r="F21" s="29">
        <f>VLOOKUP(B21,RAB!$B$8:$H$111,5,0)</f>
        <v>0</v>
      </c>
      <c r="G21" s="29">
        <f>VLOOKUP(B21,RAB!$B$8:$H$111,6,0)</f>
        <v>0</v>
      </c>
      <c r="H21" s="29">
        <f>VLOOKUP(B21,RAB!$B$8:$H$111,7,0)</f>
        <v>0</v>
      </c>
      <c r="I21" s="29">
        <f>VLOOKUP(B21,RAB!$B$8:$L$114,8,0)</f>
        <v>0</v>
      </c>
      <c r="J21" s="29">
        <f>VLOOKUP(B21,RAB!$B$8:$L$114,9,0)</f>
        <v>0</v>
      </c>
      <c r="K21" s="29">
        <f>VLOOKUP(B21,RAB!$B$8:$L$114,10,0)</f>
        <v>0</v>
      </c>
      <c r="L21" s="29">
        <f>VLOOKUP(B21,RAB!$B$8:$L$114,11,0)</f>
        <v>0</v>
      </c>
      <c r="M21" s="45">
        <f t="shared" si="0"/>
        <v>0</v>
      </c>
    </row>
    <row r="22" spans="2:13" ht="30" x14ac:dyDescent="0.25">
      <c r="B22" s="1" t="s">
        <v>41</v>
      </c>
      <c r="C22" s="37" t="s">
        <v>42</v>
      </c>
      <c r="D22" s="3" t="s">
        <v>22</v>
      </c>
      <c r="E22" s="35">
        <v>45000</v>
      </c>
      <c r="F22" s="29">
        <f>VLOOKUP(B22,RAB!$B$8:$H$111,5,0)</f>
        <v>0</v>
      </c>
      <c r="G22" s="29">
        <f>VLOOKUP(B22,RAB!$B$8:$H$111,6,0)</f>
        <v>0</v>
      </c>
      <c r="H22" s="29">
        <f>VLOOKUP(B22,RAB!$B$8:$H$111,7,0)</f>
        <v>0</v>
      </c>
      <c r="I22" s="29">
        <f>VLOOKUP(B22,RAB!$B$8:$L$114,8,0)</f>
        <v>0</v>
      </c>
      <c r="J22" s="29">
        <f>VLOOKUP(B22,RAB!$B$8:$L$114,9,0)</f>
        <v>0</v>
      </c>
      <c r="K22" s="29">
        <f>VLOOKUP(B22,RAB!$B$8:$L$114,10,0)</f>
        <v>0</v>
      </c>
      <c r="L22" s="29">
        <f>VLOOKUP(B22,RAB!$B$8:$L$114,11,0)</f>
        <v>0</v>
      </c>
      <c r="M22" s="45">
        <f t="shared" si="0"/>
        <v>0</v>
      </c>
    </row>
    <row r="23" spans="2:13" ht="30" x14ac:dyDescent="0.25">
      <c r="B23" s="1" t="s">
        <v>43</v>
      </c>
      <c r="C23" s="37" t="s">
        <v>44</v>
      </c>
      <c r="D23" s="3" t="s">
        <v>22</v>
      </c>
      <c r="E23" s="35">
        <v>50000</v>
      </c>
      <c r="F23" s="29">
        <f>VLOOKUP(B23,RAB!$B$8:$H$111,5,0)</f>
        <v>0</v>
      </c>
      <c r="G23" s="29">
        <f>VLOOKUP(B23,RAB!$B$8:$H$111,6,0)</f>
        <v>0</v>
      </c>
      <c r="H23" s="29">
        <f>VLOOKUP(B23,RAB!$B$8:$H$111,7,0)</f>
        <v>0</v>
      </c>
      <c r="I23" s="29">
        <f>VLOOKUP(B23,RAB!$B$8:$L$114,8,0)</f>
        <v>0</v>
      </c>
      <c r="J23" s="29">
        <f>VLOOKUP(B23,RAB!$B$8:$L$114,9,0)</f>
        <v>0</v>
      </c>
      <c r="K23" s="29">
        <f>VLOOKUP(B23,RAB!$B$8:$L$114,10,0)</f>
        <v>0</v>
      </c>
      <c r="L23" s="29">
        <f>VLOOKUP(B23,RAB!$B$8:$L$114,11,0)</f>
        <v>0</v>
      </c>
      <c r="M23" s="45">
        <f t="shared" si="0"/>
        <v>0</v>
      </c>
    </row>
    <row r="24" spans="2:13" ht="30" x14ac:dyDescent="0.25">
      <c r="B24" s="1" t="s">
        <v>45</v>
      </c>
      <c r="C24" s="37" t="s">
        <v>46</v>
      </c>
      <c r="D24" s="3" t="s">
        <v>22</v>
      </c>
      <c r="E24" s="35">
        <v>90000</v>
      </c>
      <c r="F24" s="29">
        <f>VLOOKUP(B24,RAB!$B$8:$H$111,5,0)</f>
        <v>0</v>
      </c>
      <c r="G24" s="29">
        <f>VLOOKUP(B24,RAB!$B$8:$H$111,6,0)</f>
        <v>0</v>
      </c>
      <c r="H24" s="29">
        <f>VLOOKUP(B24,RAB!$B$8:$H$111,7,0)</f>
        <v>0</v>
      </c>
      <c r="I24" s="29">
        <f>VLOOKUP(B24,RAB!$B$8:$L$114,8,0)</f>
        <v>0</v>
      </c>
      <c r="J24" s="29">
        <f>VLOOKUP(B24,RAB!$B$8:$L$114,9,0)</f>
        <v>0</v>
      </c>
      <c r="K24" s="29">
        <f>VLOOKUP(B24,RAB!$B$8:$L$114,10,0)</f>
        <v>0</v>
      </c>
      <c r="L24" s="29">
        <f>VLOOKUP(B24,RAB!$B$8:$L$114,11,0)</f>
        <v>0</v>
      </c>
      <c r="M24" s="45">
        <f t="shared" si="0"/>
        <v>0</v>
      </c>
    </row>
    <row r="25" spans="2:13" ht="30" x14ac:dyDescent="0.25">
      <c r="B25" s="1" t="s">
        <v>55</v>
      </c>
      <c r="C25" s="34" t="s">
        <v>56</v>
      </c>
      <c r="D25" s="3" t="s">
        <v>22</v>
      </c>
      <c r="E25" s="35">
        <v>60000</v>
      </c>
      <c r="F25" s="29">
        <f>VLOOKUP(B25,RAB!$B$8:$H$111,5,0)</f>
        <v>0</v>
      </c>
      <c r="G25" s="29">
        <f>VLOOKUP(B25,RAB!$B$8:$H$111,6,0)</f>
        <v>0</v>
      </c>
      <c r="H25" s="29">
        <f>VLOOKUP(B25,RAB!$B$8:$H$111,7,0)</f>
        <v>0</v>
      </c>
      <c r="I25" s="29">
        <f>VLOOKUP(B25,RAB!$B$8:$L$114,8,0)</f>
        <v>0</v>
      </c>
      <c r="J25" s="29">
        <f>VLOOKUP(B25,RAB!$B$8:$L$114,9,0)</f>
        <v>0</v>
      </c>
      <c r="K25" s="29">
        <f>VLOOKUP(B25,RAB!$B$8:$L$114,10,0)</f>
        <v>0</v>
      </c>
      <c r="L25" s="29">
        <f>VLOOKUP(B25,RAB!$B$8:$L$114,11,0)</f>
        <v>0</v>
      </c>
      <c r="M25" s="45">
        <f t="shared" si="0"/>
        <v>0</v>
      </c>
    </row>
    <row r="26" spans="2:13" ht="30" x14ac:dyDescent="0.25">
      <c r="B26" s="1" t="s">
        <v>57</v>
      </c>
      <c r="C26" s="34" t="s">
        <v>58</v>
      </c>
      <c r="D26" s="3" t="s">
        <v>22</v>
      </c>
      <c r="E26" s="35">
        <v>60000</v>
      </c>
      <c r="F26" s="29">
        <f>VLOOKUP(B26,RAB!$B$8:$H$111,5,0)</f>
        <v>32</v>
      </c>
      <c r="G26" s="29">
        <f>VLOOKUP(B26,RAB!$B$8:$H$111,6,0)</f>
        <v>121</v>
      </c>
      <c r="H26" s="29">
        <f>VLOOKUP(B26,RAB!$B$8:$H$111,7,0)</f>
        <v>80</v>
      </c>
      <c r="I26" s="29">
        <f>VLOOKUP(B26,RAB!$B$8:$L$114,8,0)</f>
        <v>112</v>
      </c>
      <c r="J26" s="29">
        <f>VLOOKUP(B26,RAB!$B$8:$L$114,9,0)</f>
        <v>0</v>
      </c>
      <c r="K26" s="29">
        <f>VLOOKUP(B26,RAB!$B$8:$L$114,10,0)</f>
        <v>40</v>
      </c>
      <c r="L26" s="29">
        <f>VLOOKUP(B26,RAB!$B$8:$L$114,11,0)</f>
        <v>99</v>
      </c>
      <c r="M26" s="45">
        <f t="shared" si="0"/>
        <v>29040000</v>
      </c>
    </row>
    <row r="27" spans="2:13" ht="45" x14ac:dyDescent="0.25">
      <c r="B27" s="12" t="s">
        <v>59</v>
      </c>
      <c r="C27" s="37" t="s">
        <v>60</v>
      </c>
      <c r="D27" s="13" t="s">
        <v>22</v>
      </c>
      <c r="E27" s="35">
        <v>50000</v>
      </c>
      <c r="F27" s="29">
        <f>VLOOKUP(B27,RAB!$B$8:$H$111,5,0)</f>
        <v>0</v>
      </c>
      <c r="G27" s="29">
        <f>VLOOKUP(B27,RAB!$B$8:$H$111,6,0)</f>
        <v>0</v>
      </c>
      <c r="H27" s="29">
        <f>VLOOKUP(B27,RAB!$B$8:$H$111,7,0)</f>
        <v>0</v>
      </c>
      <c r="I27" s="29">
        <f>VLOOKUP(B27,RAB!$B$8:$L$114,8,0)</f>
        <v>0</v>
      </c>
      <c r="J27" s="29">
        <f>VLOOKUP(B27,RAB!$B$8:$L$114,9,0)</f>
        <v>0</v>
      </c>
      <c r="K27" s="29">
        <f>VLOOKUP(B27,RAB!$B$8:$L$114,10,0)</f>
        <v>0</v>
      </c>
      <c r="L27" s="29">
        <f>VLOOKUP(B27,RAB!$B$8:$L$114,11,0)</f>
        <v>0</v>
      </c>
      <c r="M27" s="45">
        <f t="shared" si="0"/>
        <v>0</v>
      </c>
    </row>
    <row r="28" spans="2:13" ht="30" x14ac:dyDescent="0.25">
      <c r="B28" s="12" t="s">
        <v>61</v>
      </c>
      <c r="C28" s="37" t="s">
        <v>62</v>
      </c>
      <c r="D28" s="13" t="s">
        <v>22</v>
      </c>
      <c r="E28" s="35">
        <v>80000</v>
      </c>
      <c r="F28" s="29">
        <f>VLOOKUP(B28,RAB!$B$8:$H$111,5,0)</f>
        <v>0</v>
      </c>
      <c r="G28" s="29">
        <f>VLOOKUP(B28,RAB!$B$8:$H$111,6,0)</f>
        <v>0</v>
      </c>
      <c r="H28" s="29">
        <f>VLOOKUP(B28,RAB!$B$8:$H$111,7,0)</f>
        <v>0</v>
      </c>
      <c r="I28" s="29">
        <f>VLOOKUP(B28,RAB!$B$8:$L$114,8,0)</f>
        <v>0</v>
      </c>
      <c r="J28" s="29">
        <f>VLOOKUP(B28,RAB!$B$8:$L$114,9,0)</f>
        <v>0</v>
      </c>
      <c r="K28" s="29">
        <f>VLOOKUP(B28,RAB!$B$8:$L$114,10,0)</f>
        <v>0</v>
      </c>
      <c r="L28" s="29">
        <f>VLOOKUP(B28,RAB!$B$8:$L$114,11,0)</f>
        <v>0</v>
      </c>
      <c r="M28" s="45">
        <f t="shared" si="0"/>
        <v>0</v>
      </c>
    </row>
    <row r="29" spans="2:13" ht="30" x14ac:dyDescent="0.25">
      <c r="B29" s="12" t="s">
        <v>63</v>
      </c>
      <c r="C29" s="37" t="s">
        <v>64</v>
      </c>
      <c r="D29" s="13" t="s">
        <v>22</v>
      </c>
      <c r="E29" s="35">
        <v>80000</v>
      </c>
      <c r="F29" s="29">
        <f>VLOOKUP(B29,RAB!$B$8:$H$111,5,0)</f>
        <v>0</v>
      </c>
      <c r="G29" s="29">
        <f>VLOOKUP(B29,RAB!$B$8:$H$111,6,0)</f>
        <v>0</v>
      </c>
      <c r="H29" s="29">
        <f>VLOOKUP(B29,RAB!$B$8:$H$111,7,0)</f>
        <v>0</v>
      </c>
      <c r="I29" s="29">
        <f>VLOOKUP(B29,RAB!$B$8:$L$114,8,0)</f>
        <v>0</v>
      </c>
      <c r="J29" s="29">
        <f>VLOOKUP(B29,RAB!$B$8:$L$114,9,0)</f>
        <v>0</v>
      </c>
      <c r="K29" s="29">
        <f>VLOOKUP(B29,RAB!$B$8:$L$114,10,0)</f>
        <v>0</v>
      </c>
      <c r="L29" s="29">
        <f>VLOOKUP(B29,RAB!$B$8:$L$114,11,0)</f>
        <v>0</v>
      </c>
      <c r="M29" s="45">
        <f t="shared" si="0"/>
        <v>0</v>
      </c>
    </row>
    <row r="30" spans="2:13" ht="30" x14ac:dyDescent="0.25">
      <c r="B30" s="1" t="s">
        <v>65</v>
      </c>
      <c r="C30" s="34" t="s">
        <v>66</v>
      </c>
      <c r="D30" s="3" t="s">
        <v>22</v>
      </c>
      <c r="E30" s="35">
        <v>450000</v>
      </c>
      <c r="F30" s="29">
        <f>VLOOKUP(B30,RAB!$B$8:$H$111,5,0)</f>
        <v>0</v>
      </c>
      <c r="G30" s="29">
        <f>VLOOKUP(B30,RAB!$B$8:$H$111,6,0)</f>
        <v>0</v>
      </c>
      <c r="H30" s="29">
        <f>VLOOKUP(B30,RAB!$B$8:$H$111,7,0)</f>
        <v>0</v>
      </c>
      <c r="I30" s="29">
        <f>VLOOKUP(B30,RAB!$B$8:$L$114,8,0)</f>
        <v>0</v>
      </c>
      <c r="J30" s="29">
        <f>VLOOKUP(B30,RAB!$B$8:$L$114,9,0)</f>
        <v>0</v>
      </c>
      <c r="K30" s="29">
        <f>VLOOKUP(B30,RAB!$B$8:$L$114,10,0)</f>
        <v>0</v>
      </c>
      <c r="L30" s="29">
        <f>VLOOKUP(B30,RAB!$B$8:$L$114,11,0)</f>
        <v>0</v>
      </c>
      <c r="M30" s="45">
        <f t="shared" si="0"/>
        <v>0</v>
      </c>
    </row>
    <row r="31" spans="2:13" ht="30" x14ac:dyDescent="0.25">
      <c r="B31" s="1" t="s">
        <v>67</v>
      </c>
      <c r="C31" s="34" t="s">
        <v>68</v>
      </c>
      <c r="D31" s="3" t="s">
        <v>22</v>
      </c>
      <c r="E31" s="35">
        <v>950000</v>
      </c>
      <c r="F31" s="29">
        <f>VLOOKUP(B31,RAB!$B$8:$H$111,5,0)</f>
        <v>0</v>
      </c>
      <c r="G31" s="29">
        <f>VLOOKUP(B31,RAB!$B$8:$H$111,6,0)</f>
        <v>0</v>
      </c>
      <c r="H31" s="29">
        <f>VLOOKUP(B31,RAB!$B$8:$H$111,7,0)</f>
        <v>0</v>
      </c>
      <c r="I31" s="29">
        <f>VLOOKUP(B31,RAB!$B$8:$L$114,8,0)</f>
        <v>0</v>
      </c>
      <c r="J31" s="29">
        <f>VLOOKUP(B31,RAB!$B$8:$L$114,9,0)</f>
        <v>0</v>
      </c>
      <c r="K31" s="29">
        <f>VLOOKUP(B31,RAB!$B$8:$L$114,10,0)</f>
        <v>0</v>
      </c>
      <c r="L31" s="29">
        <f>VLOOKUP(B31,RAB!$B$8:$L$114,11,0)</f>
        <v>0</v>
      </c>
      <c r="M31" s="45">
        <f t="shared" si="0"/>
        <v>0</v>
      </c>
    </row>
    <row r="32" spans="2:13" ht="30" x14ac:dyDescent="0.25">
      <c r="B32" s="1" t="s">
        <v>69</v>
      </c>
      <c r="C32" s="34" t="s">
        <v>70</v>
      </c>
      <c r="D32" s="3" t="s">
        <v>22</v>
      </c>
      <c r="E32" s="35">
        <v>2000000</v>
      </c>
      <c r="F32" s="29">
        <f>VLOOKUP(B32,RAB!$B$8:$H$111,5,0)</f>
        <v>0</v>
      </c>
      <c r="G32" s="29">
        <f>VLOOKUP(B32,RAB!$B$8:$H$111,6,0)</f>
        <v>0</v>
      </c>
      <c r="H32" s="29">
        <f>VLOOKUP(B32,RAB!$B$8:$H$111,7,0)</f>
        <v>0</v>
      </c>
      <c r="I32" s="29">
        <f>VLOOKUP(B32,RAB!$B$8:$L$114,8,0)</f>
        <v>0</v>
      </c>
      <c r="J32" s="29">
        <f>VLOOKUP(B32,RAB!$B$8:$L$114,9,0)</f>
        <v>0</v>
      </c>
      <c r="K32" s="29">
        <f>VLOOKUP(B32,RAB!$B$8:$L$114,10,0)</f>
        <v>0</v>
      </c>
      <c r="L32" s="29">
        <f>VLOOKUP(B32,RAB!$B$8:$L$114,11,0)</f>
        <v>0</v>
      </c>
      <c r="M32" s="45">
        <f t="shared" si="0"/>
        <v>0</v>
      </c>
    </row>
    <row r="33" spans="2:13" ht="30" x14ac:dyDescent="0.25">
      <c r="B33" s="1" t="s">
        <v>71</v>
      </c>
      <c r="C33" s="34" t="s">
        <v>72</v>
      </c>
      <c r="D33" s="3" t="s">
        <v>22</v>
      </c>
      <c r="E33" s="35">
        <v>2250000</v>
      </c>
      <c r="F33" s="29">
        <f>VLOOKUP(B33,RAB!$B$8:$H$111,5,0)</f>
        <v>1</v>
      </c>
      <c r="G33" s="29">
        <f>VLOOKUP(B33,RAB!$B$8:$H$111,6,0)</f>
        <v>0</v>
      </c>
      <c r="H33" s="29">
        <f>VLOOKUP(B33,RAB!$B$8:$H$111,7,0)</f>
        <v>0</v>
      </c>
      <c r="I33" s="29">
        <f>VLOOKUP(B33,RAB!$B$8:$L$114,8,0)</f>
        <v>0</v>
      </c>
      <c r="J33" s="29">
        <f>VLOOKUP(B33,RAB!$B$8:$L$114,9,0)</f>
        <v>0</v>
      </c>
      <c r="K33" s="29">
        <f>VLOOKUP(B33,RAB!$B$8:$L$114,10,0)</f>
        <v>1</v>
      </c>
      <c r="L33" s="29">
        <f>VLOOKUP(B33,RAB!$B$8:$L$114,11,0)</f>
        <v>0</v>
      </c>
      <c r="M33" s="45">
        <f t="shared" si="0"/>
        <v>4500000</v>
      </c>
    </row>
    <row r="34" spans="2:13" ht="30" x14ac:dyDescent="0.25">
      <c r="B34" s="1" t="s">
        <v>73</v>
      </c>
      <c r="C34" s="34" t="s">
        <v>74</v>
      </c>
      <c r="D34" s="3" t="s">
        <v>22</v>
      </c>
      <c r="E34" s="35">
        <v>2500000</v>
      </c>
      <c r="F34" s="29">
        <f>VLOOKUP(B34,RAB!$B$8:$H$111,5,0)</f>
        <v>0</v>
      </c>
      <c r="G34" s="29">
        <f>VLOOKUP(B34,RAB!$B$8:$H$111,6,0)</f>
        <v>1</v>
      </c>
      <c r="H34" s="29">
        <f>VLOOKUP(B34,RAB!$B$8:$H$111,7,0)</f>
        <v>1</v>
      </c>
      <c r="I34" s="29">
        <f>VLOOKUP(B34,RAB!$B$8:$L$114,8,0)</f>
        <v>1</v>
      </c>
      <c r="J34" s="29">
        <f>VLOOKUP(B34,RAB!$B$8:$L$114,9,0)</f>
        <v>0</v>
      </c>
      <c r="K34" s="29">
        <f>VLOOKUP(B34,RAB!$B$8:$L$114,10,0)</f>
        <v>0</v>
      </c>
      <c r="L34" s="29">
        <f>VLOOKUP(B34,RAB!$B$8:$L$114,11,0)</f>
        <v>1</v>
      </c>
      <c r="M34" s="45">
        <f t="shared" si="0"/>
        <v>10000000</v>
      </c>
    </row>
    <row r="35" spans="2:13" ht="45" x14ac:dyDescent="0.25">
      <c r="B35" s="1" t="s">
        <v>75</v>
      </c>
      <c r="C35" s="34" t="s">
        <v>232</v>
      </c>
      <c r="D35" s="3" t="s">
        <v>22</v>
      </c>
      <c r="E35" s="35">
        <v>100000</v>
      </c>
      <c r="F35" s="29">
        <f>VLOOKUP(B35,RAB!$B$8:$H$111,5,0)</f>
        <v>0</v>
      </c>
      <c r="G35" s="29">
        <f>VLOOKUP(B35,RAB!$B$8:$H$111,6,0)</f>
        <v>0</v>
      </c>
      <c r="H35" s="29">
        <f>VLOOKUP(B35,RAB!$B$8:$H$111,7,0)</f>
        <v>0</v>
      </c>
      <c r="I35" s="29">
        <f>VLOOKUP(B35,RAB!$B$8:$L$114,8,0)</f>
        <v>0</v>
      </c>
      <c r="J35" s="29">
        <f>VLOOKUP(B35,RAB!$B$8:$L$114,9,0)</f>
        <v>0</v>
      </c>
      <c r="K35" s="29">
        <f>VLOOKUP(B35,RAB!$B$8:$L$114,10,0)</f>
        <v>0</v>
      </c>
      <c r="L35" s="29">
        <f>VLOOKUP(B35,RAB!$B$8:$L$114,11,0)</f>
        <v>0</v>
      </c>
      <c r="M35" s="45">
        <f t="shared" si="0"/>
        <v>0</v>
      </c>
    </row>
    <row r="36" spans="2:13" ht="30" x14ac:dyDescent="0.25">
      <c r="B36" s="1" t="s">
        <v>77</v>
      </c>
      <c r="C36" s="34" t="s">
        <v>233</v>
      </c>
      <c r="D36" s="3" t="s">
        <v>22</v>
      </c>
      <c r="E36" s="35">
        <v>115000</v>
      </c>
      <c r="F36" s="29">
        <f>VLOOKUP(B36,RAB!$B$8:$H$111,5,0)</f>
        <v>0</v>
      </c>
      <c r="G36" s="29">
        <f>VLOOKUP(B36,RAB!$B$8:$H$111,6,0)</f>
        <v>0</v>
      </c>
      <c r="H36" s="29">
        <f>VLOOKUP(B36,RAB!$B$8:$H$111,7,0)</f>
        <v>0</v>
      </c>
      <c r="I36" s="29">
        <f>VLOOKUP(B36,RAB!$B$8:$L$114,8,0)</f>
        <v>0</v>
      </c>
      <c r="J36" s="29">
        <f>VLOOKUP(B36,RAB!$B$8:$L$114,9,0)</f>
        <v>0</v>
      </c>
      <c r="K36" s="29">
        <f>VLOOKUP(B36,RAB!$B$8:$L$114,10,0)</f>
        <v>0</v>
      </c>
      <c r="L36" s="29">
        <f>VLOOKUP(B36,RAB!$B$8:$L$114,11,0)</f>
        <v>0</v>
      </c>
      <c r="M36" s="45">
        <f t="shared" si="0"/>
        <v>0</v>
      </c>
    </row>
    <row r="37" spans="2:13" ht="45" x14ac:dyDescent="0.25">
      <c r="B37" s="1" t="s">
        <v>79</v>
      </c>
      <c r="C37" s="34" t="s">
        <v>234</v>
      </c>
      <c r="D37" s="3" t="s">
        <v>22</v>
      </c>
      <c r="E37" s="35">
        <v>125000</v>
      </c>
      <c r="F37" s="29">
        <f>VLOOKUP(B37,RAB!$B$8:$H$111,5,0)</f>
        <v>81</v>
      </c>
      <c r="G37" s="29">
        <f>VLOOKUP(B37,RAB!$B$8:$H$111,6,0)</f>
        <v>458</v>
      </c>
      <c r="H37" s="29">
        <f>VLOOKUP(B37,RAB!$B$8:$H$111,7,0)</f>
        <v>418.42</v>
      </c>
      <c r="I37" s="29">
        <f>VLOOKUP(B37,RAB!$B$8:$L$114,8,0)</f>
        <v>371.78</v>
      </c>
      <c r="J37" s="29">
        <f>VLOOKUP(B37,RAB!$B$8:$L$114,9,0)</f>
        <v>13</v>
      </c>
      <c r="K37" s="29">
        <f>VLOOKUP(B37,RAB!$B$8:$L$114,10,0)</f>
        <v>111.54</v>
      </c>
      <c r="L37" s="29">
        <f>VLOOKUP(B37,RAB!$B$8:$L$114,11,0)</f>
        <v>137.38</v>
      </c>
      <c r="M37" s="45">
        <f t="shared" si="0"/>
        <v>198890000</v>
      </c>
    </row>
    <row r="38" spans="2:13" ht="45" x14ac:dyDescent="0.25">
      <c r="B38" s="1" t="s">
        <v>81</v>
      </c>
      <c r="C38" s="34" t="s">
        <v>82</v>
      </c>
      <c r="D38" s="3" t="s">
        <v>22</v>
      </c>
      <c r="E38" s="35">
        <v>150000</v>
      </c>
      <c r="F38" s="29">
        <f>VLOOKUP(B38,RAB!$B$8:$H$111,5,0)</f>
        <v>0</v>
      </c>
      <c r="G38" s="29">
        <f>VLOOKUP(B38,RAB!$B$8:$H$111,6,0)</f>
        <v>0</v>
      </c>
      <c r="H38" s="29">
        <f>VLOOKUP(B38,RAB!$B$8:$H$111,7,0)</f>
        <v>0</v>
      </c>
      <c r="I38" s="29">
        <f>VLOOKUP(B38,RAB!$B$8:$L$114,8,0)</f>
        <v>0</v>
      </c>
      <c r="J38" s="29">
        <f>VLOOKUP(B38,RAB!$B$8:$L$114,9,0)</f>
        <v>0</v>
      </c>
      <c r="K38" s="29">
        <f>VLOOKUP(B38,RAB!$B$8:$L$114,10,0)</f>
        <v>0</v>
      </c>
      <c r="L38" s="29">
        <f>VLOOKUP(B38,RAB!$B$8:$L$114,11,0)</f>
        <v>0</v>
      </c>
      <c r="M38" s="45">
        <f t="shared" si="0"/>
        <v>0</v>
      </c>
    </row>
    <row r="39" spans="2:13" ht="45" x14ac:dyDescent="0.25">
      <c r="B39" s="1" t="s">
        <v>83</v>
      </c>
      <c r="C39" s="34" t="s">
        <v>235</v>
      </c>
      <c r="D39" s="3" t="s">
        <v>22</v>
      </c>
      <c r="E39" s="35">
        <v>195000</v>
      </c>
      <c r="F39" s="29">
        <f>VLOOKUP(B39,RAB!$B$8:$H$111,5,0)</f>
        <v>0</v>
      </c>
      <c r="G39" s="29">
        <f>VLOOKUP(B39,RAB!$B$8:$H$111,6,0)</f>
        <v>0</v>
      </c>
      <c r="H39" s="29">
        <f>VLOOKUP(B39,RAB!$B$8:$H$111,7,0)</f>
        <v>0</v>
      </c>
      <c r="I39" s="29">
        <f>VLOOKUP(B39,RAB!$B$8:$L$114,8,0)</f>
        <v>0</v>
      </c>
      <c r="J39" s="29">
        <f>VLOOKUP(B39,RAB!$B$8:$L$114,9,0)</f>
        <v>0</v>
      </c>
      <c r="K39" s="29">
        <f>VLOOKUP(B39,RAB!$B$8:$L$114,10,0)</f>
        <v>0</v>
      </c>
      <c r="L39" s="29">
        <f>VLOOKUP(B39,RAB!$B$8:$L$114,11,0)</f>
        <v>0</v>
      </c>
      <c r="M39" s="45">
        <f t="shared" si="0"/>
        <v>0</v>
      </c>
    </row>
    <row r="40" spans="2:13" ht="45" x14ac:dyDescent="0.25">
      <c r="B40" s="1" t="s">
        <v>85</v>
      </c>
      <c r="C40" s="34" t="s">
        <v>236</v>
      </c>
      <c r="D40" s="3" t="s">
        <v>22</v>
      </c>
      <c r="E40" s="35">
        <v>220000</v>
      </c>
      <c r="F40" s="29">
        <f>VLOOKUP(B40,RAB!$B$8:$H$111,5,0)</f>
        <v>0</v>
      </c>
      <c r="G40" s="29">
        <f>VLOOKUP(B40,RAB!$B$8:$H$111,6,0)</f>
        <v>0</v>
      </c>
      <c r="H40" s="29">
        <f>VLOOKUP(B40,RAB!$B$8:$H$111,7,0)</f>
        <v>0</v>
      </c>
      <c r="I40" s="29">
        <f>VLOOKUP(B40,RAB!$B$8:$L$114,8,0)</f>
        <v>0</v>
      </c>
      <c r="J40" s="29">
        <f>VLOOKUP(B40,RAB!$B$8:$L$114,9,0)</f>
        <v>0</v>
      </c>
      <c r="K40" s="29">
        <f>VLOOKUP(B40,RAB!$B$8:$L$114,10,0)</f>
        <v>0</v>
      </c>
      <c r="L40" s="29">
        <f>VLOOKUP(B40,RAB!$B$8:$L$114,11,0)</f>
        <v>0</v>
      </c>
      <c r="M40" s="45">
        <f t="shared" si="0"/>
        <v>0</v>
      </c>
    </row>
    <row r="41" spans="2:13" ht="30" x14ac:dyDescent="0.25">
      <c r="B41" s="1" t="s">
        <v>87</v>
      </c>
      <c r="C41" s="34" t="s">
        <v>88</v>
      </c>
      <c r="D41" s="3" t="s">
        <v>9</v>
      </c>
      <c r="E41" s="35">
        <v>1800</v>
      </c>
      <c r="F41" s="29">
        <f>VLOOKUP(B41,RAB!$B$8:$H$111,5,0)</f>
        <v>0</v>
      </c>
      <c r="G41" s="29">
        <f>VLOOKUP(B41,RAB!$B$8:$H$111,6,0)</f>
        <v>0</v>
      </c>
      <c r="H41" s="29">
        <f>VLOOKUP(B41,RAB!$B$8:$H$111,7,0)</f>
        <v>0</v>
      </c>
      <c r="I41" s="29">
        <f>VLOOKUP(B41,RAB!$B$8:$L$114,8,0)</f>
        <v>0</v>
      </c>
      <c r="J41" s="29">
        <f>VLOOKUP(B41,RAB!$B$8:$L$114,9,0)</f>
        <v>0</v>
      </c>
      <c r="K41" s="29">
        <f>VLOOKUP(B41,RAB!$B$8:$L$114,10,0)</f>
        <v>0</v>
      </c>
      <c r="L41" s="29">
        <f>VLOOKUP(B41,RAB!$B$8:$L$114,11,0)</f>
        <v>0</v>
      </c>
      <c r="M41" s="45">
        <f t="shared" si="0"/>
        <v>0</v>
      </c>
    </row>
    <row r="42" spans="2:13" ht="30" x14ac:dyDescent="0.25">
      <c r="B42" s="1" t="s">
        <v>89</v>
      </c>
      <c r="C42" s="34" t="s">
        <v>90</v>
      </c>
      <c r="D42" s="3" t="s">
        <v>9</v>
      </c>
      <c r="E42" s="35">
        <v>1800</v>
      </c>
      <c r="F42" s="29">
        <f>VLOOKUP(B42,RAB!$B$8:$H$111,5,0)</f>
        <v>0</v>
      </c>
      <c r="G42" s="29">
        <f>VLOOKUP(B42,RAB!$B$8:$H$111,6,0)</f>
        <v>0</v>
      </c>
      <c r="H42" s="29">
        <f>VLOOKUP(B42,RAB!$B$8:$H$111,7,0)</f>
        <v>0</v>
      </c>
      <c r="I42" s="29">
        <f>VLOOKUP(B42,RAB!$B$8:$L$114,8,0)</f>
        <v>0</v>
      </c>
      <c r="J42" s="29">
        <f>VLOOKUP(B42,RAB!$B$8:$L$114,9,0)</f>
        <v>0</v>
      </c>
      <c r="K42" s="29">
        <f>VLOOKUP(B42,RAB!$B$8:$L$114,10,0)</f>
        <v>0</v>
      </c>
      <c r="L42" s="29">
        <f>VLOOKUP(B42,RAB!$B$8:$L$114,11,0)</f>
        <v>0</v>
      </c>
      <c r="M42" s="45">
        <f t="shared" si="0"/>
        <v>0</v>
      </c>
    </row>
    <row r="43" spans="2:13" ht="30" x14ac:dyDescent="0.25">
      <c r="B43" s="1" t="s">
        <v>91</v>
      </c>
      <c r="C43" s="34" t="s">
        <v>92</v>
      </c>
      <c r="D43" s="3" t="s">
        <v>9</v>
      </c>
      <c r="E43" s="35">
        <v>900</v>
      </c>
      <c r="F43" s="29">
        <f>VLOOKUP(B43,RAB!$B$8:$H$111,5,0)</f>
        <v>3200</v>
      </c>
      <c r="G43" s="29">
        <f>VLOOKUP(B43,RAB!$B$8:$H$111,6,0)</f>
        <v>0</v>
      </c>
      <c r="H43" s="29">
        <f>VLOOKUP(B43,RAB!$B$8:$H$111,7,0)</f>
        <v>0</v>
      </c>
      <c r="I43" s="29">
        <f>VLOOKUP(B43,RAB!$B$8:$L$114,8,0)</f>
        <v>0</v>
      </c>
      <c r="J43" s="29">
        <f>VLOOKUP(B43,RAB!$B$8:$L$114,9,0)</f>
        <v>17738</v>
      </c>
      <c r="K43" s="29">
        <f>VLOOKUP(B43,RAB!$B$8:$L$114,10,0)</f>
        <v>0</v>
      </c>
      <c r="L43" s="29">
        <f>VLOOKUP(B43,RAB!$B$8:$L$114,11,0)</f>
        <v>0</v>
      </c>
      <c r="M43" s="45">
        <f t="shared" si="0"/>
        <v>18844200</v>
      </c>
    </row>
    <row r="44" spans="2:13" ht="15.75" x14ac:dyDescent="0.25">
      <c r="B44" s="1" t="s">
        <v>93</v>
      </c>
      <c r="C44" s="34" t="s">
        <v>94</v>
      </c>
      <c r="D44" s="14" t="s">
        <v>22</v>
      </c>
      <c r="E44" s="35">
        <v>30000</v>
      </c>
      <c r="F44" s="29">
        <f>VLOOKUP(B44,RAB!$B$8:$H$111,5,0)</f>
        <v>0</v>
      </c>
      <c r="G44" s="29">
        <f>VLOOKUP(B44,RAB!$B$8:$H$111,6,0)</f>
        <v>0</v>
      </c>
      <c r="H44" s="29">
        <f>VLOOKUP(B44,RAB!$B$8:$H$111,7,0)</f>
        <v>0</v>
      </c>
      <c r="I44" s="29">
        <f>VLOOKUP(B44,RAB!$B$8:$L$114,8,0)</f>
        <v>0</v>
      </c>
      <c r="J44" s="29">
        <f>VLOOKUP(B44,RAB!$B$8:$L$114,9,0)</f>
        <v>0</v>
      </c>
      <c r="K44" s="29">
        <f>VLOOKUP(B44,RAB!$B$8:$L$114,10,0)</f>
        <v>0</v>
      </c>
      <c r="L44" s="29">
        <f>VLOOKUP(B44,RAB!$B$8:$L$114,11,0)</f>
        <v>0</v>
      </c>
      <c r="M44" s="45">
        <f t="shared" si="0"/>
        <v>0</v>
      </c>
    </row>
    <row r="45" spans="2:13" ht="15.75" x14ac:dyDescent="0.25">
      <c r="B45" s="1" t="s">
        <v>95</v>
      </c>
      <c r="C45" s="37" t="s">
        <v>96</v>
      </c>
      <c r="D45" s="14" t="s">
        <v>22</v>
      </c>
      <c r="E45" s="35">
        <v>200000</v>
      </c>
      <c r="F45" s="29">
        <f>VLOOKUP(B45,RAB!$B$8:$H$111,5,0)</f>
        <v>1</v>
      </c>
      <c r="G45" s="29">
        <f>VLOOKUP(B45,RAB!$B$8:$H$111,6,0)</f>
        <v>1</v>
      </c>
      <c r="H45" s="29">
        <f>VLOOKUP(B45,RAB!$B$8:$H$111,7,0)</f>
        <v>1</v>
      </c>
      <c r="I45" s="29">
        <f>VLOOKUP(B45,RAB!$B$8:$L$114,8,0)</f>
        <v>1</v>
      </c>
      <c r="J45" s="29">
        <f>VLOOKUP(B45,RAB!$B$8:$L$114,9,0)</f>
        <v>0</v>
      </c>
      <c r="K45" s="29">
        <f>VLOOKUP(B45,RAB!$B$8:$L$114,10,0)</f>
        <v>1</v>
      </c>
      <c r="L45" s="29">
        <f>VLOOKUP(B45,RAB!$B$8:$L$114,11,0)</f>
        <v>1</v>
      </c>
      <c r="M45" s="45">
        <f t="shared" si="0"/>
        <v>1200000</v>
      </c>
    </row>
    <row r="46" spans="2:13" ht="15.75" x14ac:dyDescent="0.25">
      <c r="B46" s="1" t="s">
        <v>97</v>
      </c>
      <c r="C46" s="37" t="s">
        <v>98</v>
      </c>
      <c r="D46" s="14" t="s">
        <v>22</v>
      </c>
      <c r="E46" s="35">
        <v>250000</v>
      </c>
      <c r="F46" s="29">
        <f>VLOOKUP(B46,RAB!$B$8:$H$111,5,0)</f>
        <v>0</v>
      </c>
      <c r="G46" s="29">
        <f>VLOOKUP(B46,RAB!$B$8:$H$111,6,0)</f>
        <v>0</v>
      </c>
      <c r="H46" s="29">
        <f>VLOOKUP(B46,RAB!$B$8:$H$111,7,0)</f>
        <v>0</v>
      </c>
      <c r="I46" s="29">
        <f>VLOOKUP(B46,RAB!$B$8:$L$114,8,0)</f>
        <v>0</v>
      </c>
      <c r="J46" s="29">
        <f>VLOOKUP(B46,RAB!$B$8:$L$114,9,0)</f>
        <v>0</v>
      </c>
      <c r="K46" s="29">
        <f>VLOOKUP(B46,RAB!$B$8:$L$114,10,0)</f>
        <v>0</v>
      </c>
      <c r="L46" s="29">
        <f>VLOOKUP(B46,RAB!$B$8:$L$114,11,0)</f>
        <v>0</v>
      </c>
      <c r="M46" s="45">
        <f t="shared" si="0"/>
        <v>0</v>
      </c>
    </row>
    <row r="47" spans="2:13" ht="15.75" x14ac:dyDescent="0.25">
      <c r="B47" s="1" t="s">
        <v>99</v>
      </c>
      <c r="C47" s="37" t="s">
        <v>100</v>
      </c>
      <c r="D47" s="14" t="s">
        <v>22</v>
      </c>
      <c r="E47" s="35">
        <v>200000</v>
      </c>
      <c r="F47" s="29">
        <f>VLOOKUP(B47,RAB!$B$8:$H$111,5,0)</f>
        <v>0</v>
      </c>
      <c r="G47" s="29">
        <f>VLOOKUP(B47,RAB!$B$8:$H$111,6,0)</f>
        <v>0</v>
      </c>
      <c r="H47" s="29">
        <f>VLOOKUP(B47,RAB!$B$8:$H$111,7,0)</f>
        <v>0</v>
      </c>
      <c r="I47" s="29">
        <f>VLOOKUP(B47,RAB!$B$8:$L$114,8,0)</f>
        <v>0</v>
      </c>
      <c r="J47" s="29">
        <f>VLOOKUP(B47,RAB!$B$8:$L$114,9,0)</f>
        <v>0</v>
      </c>
      <c r="K47" s="29">
        <f>VLOOKUP(B47,RAB!$B$8:$L$114,10,0)</f>
        <v>0</v>
      </c>
      <c r="L47" s="29">
        <f>VLOOKUP(B47,RAB!$B$8:$L$114,11,0)</f>
        <v>0</v>
      </c>
      <c r="M47" s="45">
        <f t="shared" si="0"/>
        <v>0</v>
      </c>
    </row>
    <row r="48" spans="2:13" ht="15.75" x14ac:dyDescent="0.25">
      <c r="B48" s="1" t="s">
        <v>101</v>
      </c>
      <c r="C48" s="34" t="s">
        <v>102</v>
      </c>
      <c r="D48" s="3" t="s">
        <v>103</v>
      </c>
      <c r="E48" s="35">
        <v>20000</v>
      </c>
      <c r="F48" s="29">
        <f>VLOOKUP(B48,RAB!$B$8:$H$111,5,0)</f>
        <v>235</v>
      </c>
      <c r="G48" s="29">
        <f>VLOOKUP(B48,RAB!$B$8:$H$111,6,0)</f>
        <v>421</v>
      </c>
      <c r="H48" s="29">
        <f>VLOOKUP(B48,RAB!$B$8:$H$111,7,0)</f>
        <v>427</v>
      </c>
      <c r="I48" s="29">
        <f>VLOOKUP(B48,RAB!$B$8:$L$114,8,0)</f>
        <v>448</v>
      </c>
      <c r="J48" s="29">
        <f>VLOOKUP(B48,RAB!$B$8:$L$114,9,0)</f>
        <v>480</v>
      </c>
      <c r="K48" s="29">
        <f>VLOOKUP(B48,RAB!$B$8:$L$114,10,0)</f>
        <v>160</v>
      </c>
      <c r="L48" s="29">
        <f>VLOOKUP(B48,RAB!$B$8:$L$114,11,0)</f>
        <v>195</v>
      </c>
      <c r="M48" s="45">
        <f t="shared" si="0"/>
        <v>47320000</v>
      </c>
    </row>
    <row r="49" spans="2:13" ht="30" x14ac:dyDescent="0.25">
      <c r="B49" s="1" t="s">
        <v>104</v>
      </c>
      <c r="C49" s="34" t="s">
        <v>105</v>
      </c>
      <c r="D49" s="14" t="s">
        <v>103</v>
      </c>
      <c r="E49" s="35">
        <v>15000</v>
      </c>
      <c r="F49" s="29">
        <f>VLOOKUP(B49,RAB!$B$8:$H$111,5,0)</f>
        <v>40</v>
      </c>
      <c r="G49" s="29">
        <f>VLOOKUP(B49,RAB!$B$8:$H$111,6,0)</f>
        <v>152</v>
      </c>
      <c r="H49" s="29">
        <f>VLOOKUP(B49,RAB!$B$8:$H$111,7,0)</f>
        <v>100</v>
      </c>
      <c r="I49" s="29">
        <f>VLOOKUP(B49,RAB!$B$8:$L$114,8,0)</f>
        <v>140</v>
      </c>
      <c r="J49" s="29">
        <f>VLOOKUP(B49,RAB!$B$8:$L$114,9,0)</f>
        <v>96</v>
      </c>
      <c r="K49" s="29">
        <f>VLOOKUP(B49,RAB!$B$8:$L$114,10,0)</f>
        <v>50</v>
      </c>
      <c r="L49" s="29">
        <f>VLOOKUP(B49,RAB!$B$8:$L$114,11,0)</f>
        <v>124</v>
      </c>
      <c r="M49" s="45">
        <f t="shared" si="0"/>
        <v>10530000</v>
      </c>
    </row>
    <row r="50" spans="2:13" ht="30" x14ac:dyDescent="0.25">
      <c r="B50" s="1" t="s">
        <v>106</v>
      </c>
      <c r="C50" s="34" t="s">
        <v>107</v>
      </c>
      <c r="D50" s="14" t="s">
        <v>103</v>
      </c>
      <c r="E50" s="35">
        <v>20000</v>
      </c>
      <c r="F50" s="29">
        <f>VLOOKUP(B50,RAB!$B$8:$H$111,5,0)</f>
        <v>0</v>
      </c>
      <c r="G50" s="29">
        <f>VLOOKUP(B50,RAB!$B$8:$H$111,6,0)</f>
        <v>0</v>
      </c>
      <c r="H50" s="29">
        <f>VLOOKUP(B50,RAB!$B$8:$H$111,7,0)</f>
        <v>0</v>
      </c>
      <c r="I50" s="29">
        <f>VLOOKUP(B50,RAB!$B$8:$L$114,8,0)</f>
        <v>0</v>
      </c>
      <c r="J50" s="29">
        <f>VLOOKUP(B50,RAB!$B$8:$L$114,9,0)</f>
        <v>0</v>
      </c>
      <c r="K50" s="29">
        <f>VLOOKUP(B50,RAB!$B$8:$L$114,10,0)</f>
        <v>0</v>
      </c>
      <c r="L50" s="29">
        <f>VLOOKUP(B50,RAB!$B$8:$L$114,11,0)</f>
        <v>0</v>
      </c>
      <c r="M50" s="45">
        <f t="shared" si="0"/>
        <v>0</v>
      </c>
    </row>
    <row r="51" spans="2:13" ht="30" x14ac:dyDescent="0.25">
      <c r="B51" s="1" t="s">
        <v>108</v>
      </c>
      <c r="C51" s="34" t="s">
        <v>109</v>
      </c>
      <c r="D51" s="3" t="s">
        <v>9</v>
      </c>
      <c r="E51" s="35">
        <v>8000</v>
      </c>
      <c r="F51" s="29">
        <f>VLOOKUP(B51,RAB!$B$8:$H$111,5,0)</f>
        <v>0</v>
      </c>
      <c r="G51" s="29">
        <f>VLOOKUP(B51,RAB!$B$8:$H$111,6,0)</f>
        <v>0</v>
      </c>
      <c r="H51" s="29">
        <f>VLOOKUP(B51,RAB!$B$8:$H$111,7,0)</f>
        <v>0</v>
      </c>
      <c r="I51" s="29">
        <f>VLOOKUP(B51,RAB!$B$8:$L$114,8,0)</f>
        <v>0</v>
      </c>
      <c r="J51" s="29">
        <f>VLOOKUP(B51,RAB!$B$8:$L$114,9,0)</f>
        <v>0</v>
      </c>
      <c r="K51" s="29">
        <f>VLOOKUP(B51,RAB!$B$8:$L$114,10,0)</f>
        <v>0</v>
      </c>
      <c r="L51" s="29">
        <f>VLOOKUP(B51,RAB!$B$8:$L$114,11,0)</f>
        <v>0</v>
      </c>
      <c r="M51" s="45">
        <f t="shared" si="0"/>
        <v>0</v>
      </c>
    </row>
    <row r="52" spans="2:13" ht="30" x14ac:dyDescent="0.25">
      <c r="B52" s="1" t="s">
        <v>110</v>
      </c>
      <c r="C52" s="34" t="s">
        <v>111</v>
      </c>
      <c r="D52" s="3" t="s">
        <v>9</v>
      </c>
      <c r="E52" s="35">
        <v>9250</v>
      </c>
      <c r="F52" s="29">
        <f>VLOOKUP(B52,RAB!$B$8:$H$111,5,0)</f>
        <v>0</v>
      </c>
      <c r="G52" s="29">
        <f>VLOOKUP(B52,RAB!$B$8:$H$111,6,0)</f>
        <v>0</v>
      </c>
      <c r="H52" s="29">
        <f>VLOOKUP(B52,RAB!$B$8:$H$111,7,0)</f>
        <v>0</v>
      </c>
      <c r="I52" s="29">
        <f>VLOOKUP(B52,RAB!$B$8:$L$114,8,0)</f>
        <v>0</v>
      </c>
      <c r="J52" s="29">
        <f>VLOOKUP(B52,RAB!$B$8:$L$114,9,0)</f>
        <v>0</v>
      </c>
      <c r="K52" s="29">
        <f>VLOOKUP(B52,RAB!$B$8:$L$114,10,0)</f>
        <v>0</v>
      </c>
      <c r="L52" s="29">
        <f>VLOOKUP(B52,RAB!$B$8:$L$114,11,0)</f>
        <v>0</v>
      </c>
      <c r="M52" s="45">
        <f t="shared" si="0"/>
        <v>0</v>
      </c>
    </row>
    <row r="53" spans="2:13" ht="30" x14ac:dyDescent="0.25">
      <c r="B53" s="1" t="s">
        <v>112</v>
      </c>
      <c r="C53" s="34" t="s">
        <v>113</v>
      </c>
      <c r="D53" s="3" t="s">
        <v>9</v>
      </c>
      <c r="E53" s="35">
        <v>13750</v>
      </c>
      <c r="F53" s="29">
        <f>VLOOKUP(B53,RAB!$B$8:$H$111,5,0)</f>
        <v>0</v>
      </c>
      <c r="G53" s="29">
        <f>VLOOKUP(B53,RAB!$B$8:$H$111,6,0)</f>
        <v>0</v>
      </c>
      <c r="H53" s="29">
        <f>VLOOKUP(B53,RAB!$B$8:$H$111,7,0)</f>
        <v>0</v>
      </c>
      <c r="I53" s="29">
        <f>VLOOKUP(B53,RAB!$B$8:$L$114,8,0)</f>
        <v>0</v>
      </c>
      <c r="J53" s="29">
        <f>VLOOKUP(B53,RAB!$B$8:$L$114,9,0)</f>
        <v>0</v>
      </c>
      <c r="K53" s="29">
        <f>VLOOKUP(B53,RAB!$B$8:$L$114,10,0)</f>
        <v>0</v>
      </c>
      <c r="L53" s="29">
        <f>VLOOKUP(B53,RAB!$B$8:$L$114,11,0)</f>
        <v>0</v>
      </c>
      <c r="M53" s="45">
        <f t="shared" si="0"/>
        <v>0</v>
      </c>
    </row>
    <row r="54" spans="2:13" ht="30" x14ac:dyDescent="0.25">
      <c r="B54" s="1" t="s">
        <v>114</v>
      </c>
      <c r="C54" s="34" t="s">
        <v>115</v>
      </c>
      <c r="D54" s="3" t="s">
        <v>9</v>
      </c>
      <c r="E54" s="35">
        <v>15500</v>
      </c>
      <c r="F54" s="29">
        <f>VLOOKUP(B54,RAB!$B$8:$H$111,5,0)</f>
        <v>0</v>
      </c>
      <c r="G54" s="29">
        <f>VLOOKUP(B54,RAB!$B$8:$H$111,6,0)</f>
        <v>0</v>
      </c>
      <c r="H54" s="29">
        <f>VLOOKUP(B54,RAB!$B$8:$H$111,7,0)</f>
        <v>0</v>
      </c>
      <c r="I54" s="29">
        <f>VLOOKUP(B54,RAB!$B$8:$L$114,8,0)</f>
        <v>0</v>
      </c>
      <c r="J54" s="29">
        <f>VLOOKUP(B54,RAB!$B$8:$L$114,9,0)</f>
        <v>0</v>
      </c>
      <c r="K54" s="29">
        <f>VLOOKUP(B54,RAB!$B$8:$L$114,10,0)</f>
        <v>0</v>
      </c>
      <c r="L54" s="29">
        <f>VLOOKUP(B54,RAB!$B$8:$L$114,11,0)</f>
        <v>0</v>
      </c>
      <c r="M54" s="45">
        <f t="shared" si="0"/>
        <v>0</v>
      </c>
    </row>
    <row r="55" spans="2:13" ht="30" x14ac:dyDescent="0.25">
      <c r="B55" s="1" t="s">
        <v>116</v>
      </c>
      <c r="C55" s="34" t="s">
        <v>117</v>
      </c>
      <c r="D55" s="3" t="s">
        <v>9</v>
      </c>
      <c r="E55" s="35">
        <v>20750</v>
      </c>
      <c r="F55" s="29">
        <f>VLOOKUP(B55,RAB!$B$8:$H$111,5,0)</f>
        <v>0</v>
      </c>
      <c r="G55" s="29">
        <f>VLOOKUP(B55,RAB!$B$8:$H$111,6,0)</f>
        <v>0</v>
      </c>
      <c r="H55" s="29">
        <f>VLOOKUP(B55,RAB!$B$8:$H$111,7,0)</f>
        <v>0</v>
      </c>
      <c r="I55" s="29">
        <f>VLOOKUP(B55,RAB!$B$8:$L$114,8,0)</f>
        <v>0</v>
      </c>
      <c r="J55" s="29">
        <f>VLOOKUP(B55,RAB!$B$8:$L$114,9,0)</f>
        <v>1400</v>
      </c>
      <c r="K55" s="29">
        <f>VLOOKUP(B55,RAB!$B$8:$L$114,10,0)</f>
        <v>0</v>
      </c>
      <c r="L55" s="29">
        <f>VLOOKUP(B55,RAB!$B$8:$L$114,11,0)</f>
        <v>0</v>
      </c>
      <c r="M55" s="45">
        <f t="shared" si="0"/>
        <v>29050000</v>
      </c>
    </row>
    <row r="56" spans="2:13" ht="30" x14ac:dyDescent="0.25">
      <c r="B56" s="1" t="s">
        <v>118</v>
      </c>
      <c r="C56" s="34" t="s">
        <v>119</v>
      </c>
      <c r="D56" s="3" t="s">
        <v>9</v>
      </c>
      <c r="E56" s="35">
        <v>106900</v>
      </c>
      <c r="F56" s="29">
        <f>VLOOKUP(B56,RAB!$B$8:$H$111,5,0)</f>
        <v>0</v>
      </c>
      <c r="G56" s="29">
        <f>VLOOKUP(B56,RAB!$B$8:$H$111,6,0)</f>
        <v>0</v>
      </c>
      <c r="H56" s="29">
        <f>VLOOKUP(B56,RAB!$B$8:$H$111,7,0)</f>
        <v>0</v>
      </c>
      <c r="I56" s="29">
        <f>VLOOKUP(B56,RAB!$B$8:$L$114,8,0)</f>
        <v>0</v>
      </c>
      <c r="J56" s="29">
        <f>VLOOKUP(B56,RAB!$B$8:$L$114,9,0)</f>
        <v>0</v>
      </c>
      <c r="K56" s="29">
        <f>VLOOKUP(B56,RAB!$B$8:$L$114,10,0)</f>
        <v>0</v>
      </c>
      <c r="L56" s="29">
        <f>VLOOKUP(B56,RAB!$B$8:$L$114,11,0)</f>
        <v>0</v>
      </c>
      <c r="M56" s="45">
        <f t="shared" si="0"/>
        <v>0</v>
      </c>
    </row>
    <row r="57" spans="2:13" ht="30" x14ac:dyDescent="0.25">
      <c r="B57" s="1" t="s">
        <v>120</v>
      </c>
      <c r="C57" s="34" t="s">
        <v>121</v>
      </c>
      <c r="D57" s="3" t="s">
        <v>122</v>
      </c>
      <c r="E57" s="35">
        <v>62887</v>
      </c>
      <c r="F57" s="29">
        <f>VLOOKUP(B57,RAB!$B$8:$H$111,5,0)</f>
        <v>0</v>
      </c>
      <c r="G57" s="29">
        <f>VLOOKUP(B57,RAB!$B$8:$H$111,6,0)</f>
        <v>0</v>
      </c>
      <c r="H57" s="29">
        <f>VLOOKUP(B57,RAB!$B$8:$H$111,7,0)</f>
        <v>0</v>
      </c>
      <c r="I57" s="29">
        <f>VLOOKUP(B57,RAB!$B$8:$L$114,8,0)</f>
        <v>0</v>
      </c>
      <c r="J57" s="29">
        <f>VLOOKUP(B57,RAB!$B$8:$L$114,9,0)</f>
        <v>0</v>
      </c>
      <c r="K57" s="29">
        <f>VLOOKUP(B57,RAB!$B$8:$L$114,10,0)</f>
        <v>0</v>
      </c>
      <c r="L57" s="29">
        <f>VLOOKUP(B57,RAB!$B$8:$L$114,11,0)</f>
        <v>0</v>
      </c>
      <c r="M57" s="45">
        <f t="shared" si="0"/>
        <v>0</v>
      </c>
    </row>
    <row r="58" spans="2:13" ht="30" x14ac:dyDescent="0.25">
      <c r="B58" s="12" t="s">
        <v>123</v>
      </c>
      <c r="C58" s="37" t="s">
        <v>124</v>
      </c>
      <c r="D58" s="13" t="s">
        <v>9</v>
      </c>
      <c r="E58" s="35">
        <v>16850</v>
      </c>
      <c r="F58" s="29">
        <f>VLOOKUP(B58,RAB!$B$8:$H$111,5,0)</f>
        <v>3532</v>
      </c>
      <c r="G58" s="29">
        <f>VLOOKUP(B58,RAB!$B$8:$H$111,6,0)</f>
        <v>0</v>
      </c>
      <c r="H58" s="29">
        <f>VLOOKUP(B58,RAB!$B$8:$H$111,7,0)</f>
        <v>0</v>
      </c>
      <c r="I58" s="29">
        <f>VLOOKUP(B58,RAB!$B$8:$L$114,8,0)</f>
        <v>0</v>
      </c>
      <c r="J58" s="29">
        <f>VLOOKUP(B58,RAB!$B$8:$L$114,9,0)</f>
        <v>15600</v>
      </c>
      <c r="K58" s="29">
        <f>VLOOKUP(B58,RAB!$B$8:$L$114,10,0)</f>
        <v>0</v>
      </c>
      <c r="L58" s="29">
        <f>VLOOKUP(B58,RAB!$B$8:$L$114,11,0)</f>
        <v>0</v>
      </c>
      <c r="M58" s="45">
        <f t="shared" si="0"/>
        <v>322374200</v>
      </c>
    </row>
    <row r="59" spans="2:13" ht="30" x14ac:dyDescent="0.25">
      <c r="B59" s="12" t="s">
        <v>125</v>
      </c>
      <c r="C59" s="37" t="s">
        <v>126</v>
      </c>
      <c r="D59" s="13" t="s">
        <v>9</v>
      </c>
      <c r="E59" s="35">
        <v>17950</v>
      </c>
      <c r="F59" s="29">
        <f>VLOOKUP(B59,RAB!$B$8:$H$111,5,0)</f>
        <v>0</v>
      </c>
      <c r="G59" s="29">
        <f>VLOOKUP(B59,RAB!$B$8:$H$111,6,0)</f>
        <v>0</v>
      </c>
      <c r="H59" s="29">
        <f>VLOOKUP(B59,RAB!$B$8:$H$111,7,0)</f>
        <v>0</v>
      </c>
      <c r="I59" s="29">
        <f>VLOOKUP(B59,RAB!$B$8:$L$114,8,0)</f>
        <v>0</v>
      </c>
      <c r="J59" s="29">
        <f>VLOOKUP(B59,RAB!$B$8:$L$114,9,0)</f>
        <v>0</v>
      </c>
      <c r="K59" s="29">
        <f>VLOOKUP(B59,RAB!$B$8:$L$114,10,0)</f>
        <v>0</v>
      </c>
      <c r="L59" s="29">
        <f>VLOOKUP(B59,RAB!$B$8:$L$114,11,0)</f>
        <v>0</v>
      </c>
      <c r="M59" s="45">
        <f t="shared" si="0"/>
        <v>0</v>
      </c>
    </row>
    <row r="60" spans="2:13" ht="30" x14ac:dyDescent="0.25">
      <c r="B60" s="12" t="s">
        <v>127</v>
      </c>
      <c r="C60" s="37" t="s">
        <v>128</v>
      </c>
      <c r="D60" s="13" t="s">
        <v>9</v>
      </c>
      <c r="E60" s="35">
        <v>16850</v>
      </c>
      <c r="F60" s="29">
        <f>VLOOKUP(B60,RAB!$B$8:$H$111,5,0)</f>
        <v>0</v>
      </c>
      <c r="G60" s="29">
        <f>VLOOKUP(B60,RAB!$B$8:$H$111,6,0)</f>
        <v>0</v>
      </c>
      <c r="H60" s="29">
        <f>VLOOKUP(B60,RAB!$B$8:$H$111,7,0)</f>
        <v>0</v>
      </c>
      <c r="I60" s="29">
        <f>VLOOKUP(B60,RAB!$B$8:$L$114,8,0)</f>
        <v>0</v>
      </c>
      <c r="J60" s="29">
        <f>VLOOKUP(B60,RAB!$B$8:$L$114,9,0)</f>
        <v>0</v>
      </c>
      <c r="K60" s="29">
        <f>VLOOKUP(B60,RAB!$B$8:$L$114,10,0)</f>
        <v>0</v>
      </c>
      <c r="L60" s="29">
        <f>VLOOKUP(B60,RAB!$B$8:$L$114,11,0)</f>
        <v>0</v>
      </c>
      <c r="M60" s="45">
        <f t="shared" si="0"/>
        <v>0</v>
      </c>
    </row>
    <row r="61" spans="2:13" ht="30" x14ac:dyDescent="0.25">
      <c r="B61" s="1" t="s">
        <v>129</v>
      </c>
      <c r="C61" s="37" t="s">
        <v>130</v>
      </c>
      <c r="D61" s="13" t="s">
        <v>9</v>
      </c>
      <c r="E61" s="35">
        <v>20600</v>
      </c>
      <c r="F61" s="29">
        <f>VLOOKUP(B61,RAB!$B$8:$H$111,5,0)</f>
        <v>0</v>
      </c>
      <c r="G61" s="29">
        <f>VLOOKUP(B61,RAB!$B$8:$H$111,6,0)</f>
        <v>0</v>
      </c>
      <c r="H61" s="29">
        <f>VLOOKUP(B61,RAB!$B$8:$H$111,7,0)</f>
        <v>0</v>
      </c>
      <c r="I61" s="29">
        <f>VLOOKUP(B61,RAB!$B$8:$L$114,8,0)</f>
        <v>0</v>
      </c>
      <c r="J61" s="29">
        <f>VLOOKUP(B61,RAB!$B$8:$L$114,9,0)</f>
        <v>0</v>
      </c>
      <c r="K61" s="29">
        <f>VLOOKUP(B61,RAB!$B$8:$L$114,10,0)</f>
        <v>0</v>
      </c>
      <c r="L61" s="29">
        <f>VLOOKUP(B61,RAB!$B$8:$L$114,11,0)</f>
        <v>0</v>
      </c>
      <c r="M61" s="45">
        <f t="shared" si="0"/>
        <v>0</v>
      </c>
    </row>
    <row r="62" spans="2:13" ht="15.75" x14ac:dyDescent="0.25">
      <c r="B62" s="1" t="s">
        <v>131</v>
      </c>
      <c r="C62" s="37" t="s">
        <v>132</v>
      </c>
      <c r="D62" s="13" t="s">
        <v>9</v>
      </c>
      <c r="E62" s="35">
        <v>1000</v>
      </c>
      <c r="F62" s="29">
        <f>VLOOKUP(B62,RAB!$B$8:$H$111,5,0)</f>
        <v>0</v>
      </c>
      <c r="G62" s="29">
        <f>VLOOKUP(B62,RAB!$B$8:$H$111,6,0)</f>
        <v>0</v>
      </c>
      <c r="H62" s="29">
        <f>VLOOKUP(B62,RAB!$B$8:$H$111,7,0)</f>
        <v>0</v>
      </c>
      <c r="I62" s="29">
        <f>VLOOKUP(B62,RAB!$B$8:$L$114,8,0)</f>
        <v>0</v>
      </c>
      <c r="J62" s="29">
        <f>VLOOKUP(B62,RAB!$B$8:$L$114,9,0)</f>
        <v>0</v>
      </c>
      <c r="K62" s="29">
        <f>VLOOKUP(B62,RAB!$B$8:$L$114,10,0)</f>
        <v>0</v>
      </c>
      <c r="L62" s="29">
        <f>VLOOKUP(B62,RAB!$B$8:$L$114,11,0)</f>
        <v>0</v>
      </c>
      <c r="M62" s="45">
        <f t="shared" si="0"/>
        <v>0</v>
      </c>
    </row>
    <row r="63" spans="2:13" ht="15.75" x14ac:dyDescent="0.25">
      <c r="B63" s="1" t="s">
        <v>133</v>
      </c>
      <c r="C63" s="37" t="s">
        <v>134</v>
      </c>
      <c r="D63" s="13" t="s">
        <v>9</v>
      </c>
      <c r="E63" s="35">
        <v>36000</v>
      </c>
      <c r="F63" s="29">
        <f>VLOOKUP(B63,RAB!$B$8:$H$111,5,0)</f>
        <v>0</v>
      </c>
      <c r="G63" s="29">
        <f>VLOOKUP(B63,RAB!$B$8:$H$111,6,0)</f>
        <v>0</v>
      </c>
      <c r="H63" s="29">
        <f>VLOOKUP(B63,RAB!$B$8:$H$111,7,0)</f>
        <v>0</v>
      </c>
      <c r="I63" s="29">
        <f>VLOOKUP(B63,RAB!$B$8:$L$114,8,0)</f>
        <v>0</v>
      </c>
      <c r="J63" s="29">
        <f>VLOOKUP(B63,RAB!$B$8:$L$114,9,0)</f>
        <v>0</v>
      </c>
      <c r="K63" s="29">
        <f>VLOOKUP(B63,RAB!$B$8:$L$114,10,0)</f>
        <v>0</v>
      </c>
      <c r="L63" s="29">
        <f>VLOOKUP(B63,RAB!$B$8:$L$114,11,0)</f>
        <v>0</v>
      </c>
      <c r="M63" s="45">
        <f t="shared" si="0"/>
        <v>0</v>
      </c>
    </row>
    <row r="64" spans="2:13" ht="30" x14ac:dyDescent="0.25">
      <c r="B64" s="1" t="s">
        <v>135</v>
      </c>
      <c r="C64" s="37" t="s">
        <v>136</v>
      </c>
      <c r="D64" s="13" t="s">
        <v>137</v>
      </c>
      <c r="E64" s="35">
        <v>860000</v>
      </c>
      <c r="F64" s="29">
        <f>VLOOKUP(B64,RAB!$B$8:$H$111,5,0)</f>
        <v>0</v>
      </c>
      <c r="G64" s="29">
        <f>VLOOKUP(B64,RAB!$B$8:$H$111,6,0)</f>
        <v>0</v>
      </c>
      <c r="H64" s="29">
        <f>VLOOKUP(B64,RAB!$B$8:$H$111,7,0)</f>
        <v>0</v>
      </c>
      <c r="I64" s="29">
        <f>VLOOKUP(B64,RAB!$B$8:$L$114,8,0)</f>
        <v>0</v>
      </c>
      <c r="J64" s="29">
        <f>VLOOKUP(B64,RAB!$B$8:$L$114,9,0)</f>
        <v>0</v>
      </c>
      <c r="K64" s="29">
        <f>VLOOKUP(B64,RAB!$B$8:$L$114,10,0)</f>
        <v>0</v>
      </c>
      <c r="L64" s="29">
        <f>VLOOKUP(B64,RAB!$B$8:$L$114,11,0)</f>
        <v>0</v>
      </c>
      <c r="M64" s="45">
        <f t="shared" si="0"/>
        <v>0</v>
      </c>
    </row>
    <row r="65" spans="2:13" ht="45" x14ac:dyDescent="0.25">
      <c r="B65" s="1" t="s">
        <v>138</v>
      </c>
      <c r="C65" s="37" t="s">
        <v>139</v>
      </c>
      <c r="D65" s="13" t="s">
        <v>9</v>
      </c>
      <c r="E65" s="35">
        <v>225000</v>
      </c>
      <c r="F65" s="29">
        <f>VLOOKUP(B65,RAB!$B$8:$H$111,5,0)</f>
        <v>20</v>
      </c>
      <c r="G65" s="29">
        <f>VLOOKUP(B65,RAB!$B$8:$H$111,6,0)</f>
        <v>0</v>
      </c>
      <c r="H65" s="29">
        <f>VLOOKUP(B65,RAB!$B$8:$H$111,7,0)</f>
        <v>0</v>
      </c>
      <c r="I65" s="29">
        <f>VLOOKUP(B65,RAB!$B$8:$L$114,8,0)</f>
        <v>0</v>
      </c>
      <c r="J65" s="29">
        <f>VLOOKUP(B65,RAB!$B$8:$L$114,9,0)</f>
        <v>0</v>
      </c>
      <c r="K65" s="29">
        <f>VLOOKUP(B65,RAB!$B$8:$L$114,10,0)</f>
        <v>0</v>
      </c>
      <c r="L65" s="29">
        <f>VLOOKUP(B65,RAB!$B$8:$L$114,11,0)</f>
        <v>0</v>
      </c>
      <c r="M65" s="45">
        <f t="shared" si="0"/>
        <v>4500000</v>
      </c>
    </row>
    <row r="66" spans="2:13" ht="45" x14ac:dyDescent="0.25">
      <c r="B66" s="1" t="s">
        <v>140</v>
      </c>
      <c r="C66" s="37" t="s">
        <v>141</v>
      </c>
      <c r="D66" s="13" t="s">
        <v>9</v>
      </c>
      <c r="E66" s="35">
        <v>225000</v>
      </c>
      <c r="F66" s="29">
        <f>VLOOKUP(B66,RAB!$B$8:$H$111,5,0)</f>
        <v>0</v>
      </c>
      <c r="G66" s="29">
        <f>VLOOKUP(B66,RAB!$B$8:$H$111,6,0)</f>
        <v>0</v>
      </c>
      <c r="H66" s="29">
        <f>VLOOKUP(B66,RAB!$B$8:$H$111,7,0)</f>
        <v>0</v>
      </c>
      <c r="I66" s="29">
        <f>VLOOKUP(B66,RAB!$B$8:$L$114,8,0)</f>
        <v>0</v>
      </c>
      <c r="J66" s="29">
        <f>VLOOKUP(B66,RAB!$B$8:$L$114,9,0)</f>
        <v>0</v>
      </c>
      <c r="K66" s="29">
        <f>VLOOKUP(B66,RAB!$B$8:$L$114,10,0)</f>
        <v>0</v>
      </c>
      <c r="L66" s="29">
        <f>VLOOKUP(B66,RAB!$B$8:$L$114,11,0)</f>
        <v>0</v>
      </c>
      <c r="M66" s="45">
        <f t="shared" si="0"/>
        <v>0</v>
      </c>
    </row>
    <row r="67" spans="2:13" ht="45" x14ac:dyDescent="0.25">
      <c r="B67" s="1" t="s">
        <v>142</v>
      </c>
      <c r="C67" s="37" t="s">
        <v>143</v>
      </c>
      <c r="D67" s="3" t="s">
        <v>22</v>
      </c>
      <c r="E67" s="35">
        <v>6500</v>
      </c>
      <c r="F67" s="29">
        <f>VLOOKUP(B67,RAB!$B$8:$H$111,5,0)</f>
        <v>0</v>
      </c>
      <c r="G67" s="29">
        <f>VLOOKUP(B67,RAB!$B$8:$H$111,6,0)</f>
        <v>0</v>
      </c>
      <c r="H67" s="29">
        <f>VLOOKUP(B67,RAB!$B$8:$H$111,7,0)</f>
        <v>0</v>
      </c>
      <c r="I67" s="29">
        <f>VLOOKUP(B67,RAB!$B$8:$L$114,8,0)</f>
        <v>0</v>
      </c>
      <c r="J67" s="29">
        <f>VLOOKUP(B67,RAB!$B$8:$L$114,9,0)</f>
        <v>0</v>
      </c>
      <c r="K67" s="29">
        <f>VLOOKUP(B67,RAB!$B$8:$L$114,10,0)</f>
        <v>0</v>
      </c>
      <c r="L67" s="29">
        <f>VLOOKUP(B67,RAB!$B$8:$L$114,11,0)</f>
        <v>0</v>
      </c>
      <c r="M67" s="45">
        <f t="shared" si="0"/>
        <v>0</v>
      </c>
    </row>
    <row r="68" spans="2:13" ht="30" x14ac:dyDescent="0.25">
      <c r="B68" s="16" t="s">
        <v>145</v>
      </c>
      <c r="C68" s="38" t="s">
        <v>146</v>
      </c>
      <c r="D68" s="17" t="s">
        <v>22</v>
      </c>
      <c r="E68" s="39">
        <v>4218196.5</v>
      </c>
      <c r="F68" s="29"/>
      <c r="G68" s="29"/>
      <c r="H68" s="29"/>
      <c r="I68" s="29">
        <f>VLOOKUP(B68,RAB!$B$8:$L$114,8,0)</f>
        <v>0</v>
      </c>
      <c r="J68" s="29">
        <f>VLOOKUP(B68,RAB!$B$8:$L$114,9,0)</f>
        <v>0</v>
      </c>
      <c r="K68" s="29">
        <f>VLOOKUP(B68,RAB!$B$8:$L$114,10,0)</f>
        <v>0</v>
      </c>
      <c r="L68" s="29">
        <f>VLOOKUP(B68,RAB!$B$8:$L$114,11,0)</f>
        <v>0</v>
      </c>
      <c r="M68" s="45">
        <f t="shared" si="0"/>
        <v>0</v>
      </c>
    </row>
    <row r="69" spans="2:13" ht="30" x14ac:dyDescent="0.25">
      <c r="B69" s="16" t="s">
        <v>147</v>
      </c>
      <c r="C69" s="38" t="s">
        <v>148</v>
      </c>
      <c r="D69" s="18" t="s">
        <v>22</v>
      </c>
      <c r="E69" s="39">
        <v>4182730</v>
      </c>
      <c r="F69" s="29">
        <f>VLOOKUP(B69,RAB!$B$8:$H$111,5,0)</f>
        <v>1</v>
      </c>
      <c r="G69" s="29">
        <f>VLOOKUP(B69,RAB!$B$8:$H$111,6,0)</f>
        <v>1</v>
      </c>
      <c r="H69" s="29">
        <f>VLOOKUP(B69,RAB!$B$8:$H$111,7,0)</f>
        <v>1</v>
      </c>
      <c r="I69" s="29">
        <f>VLOOKUP(B69,RAB!$B$8:$L$114,8,0)</f>
        <v>2</v>
      </c>
      <c r="J69" s="29">
        <f>VLOOKUP(B69,RAB!$B$8:$L$114,9,0)</f>
        <v>6</v>
      </c>
      <c r="K69" s="29">
        <f>VLOOKUP(B69,RAB!$B$8:$L$114,10,0)</f>
        <v>0</v>
      </c>
      <c r="L69" s="29">
        <f>VLOOKUP(B69,RAB!$B$8:$L$114,11,0)</f>
        <v>1</v>
      </c>
      <c r="M69" s="45">
        <f t="shared" si="0"/>
        <v>50192760</v>
      </c>
    </row>
    <row r="70" spans="2:13" ht="30" x14ac:dyDescent="0.25">
      <c r="B70" s="16" t="s">
        <v>149</v>
      </c>
      <c r="C70" s="38" t="s">
        <v>150</v>
      </c>
      <c r="D70" s="18" t="s">
        <v>22</v>
      </c>
      <c r="E70" s="39">
        <v>1583084.5</v>
      </c>
      <c r="F70" s="29">
        <f>VLOOKUP(B70,RAB!$B$8:$H$111,5,0)</f>
        <v>0</v>
      </c>
      <c r="G70" s="29">
        <f>VLOOKUP(B70,RAB!$B$8:$H$111,6,0)</f>
        <v>0</v>
      </c>
      <c r="H70" s="29">
        <f>VLOOKUP(B70,RAB!$B$8:$H$111,7,0)</f>
        <v>0</v>
      </c>
      <c r="I70" s="29">
        <f>VLOOKUP(B70,RAB!$B$8:$L$114,8,0)</f>
        <v>0</v>
      </c>
      <c r="J70" s="29">
        <f>VLOOKUP(B70,RAB!$B$8:$L$114,9,0)</f>
        <v>0</v>
      </c>
      <c r="K70" s="29">
        <f>VLOOKUP(B70,RAB!$B$8:$L$114,10,0)</f>
        <v>1</v>
      </c>
      <c r="L70" s="29">
        <f>VLOOKUP(B70,RAB!$B$8:$L$114,11,0)</f>
        <v>0</v>
      </c>
      <c r="M70" s="45">
        <f t="shared" ref="M70:M91" si="1">(H70+G70+F70+I70+J70+K70+L70)*E70</f>
        <v>1583084.5</v>
      </c>
    </row>
    <row r="71" spans="2:13" ht="30" x14ac:dyDescent="0.25">
      <c r="B71" s="16" t="s">
        <v>151</v>
      </c>
      <c r="C71" s="44" t="s">
        <v>152</v>
      </c>
      <c r="D71" s="17" t="s">
        <v>22</v>
      </c>
      <c r="E71" s="39">
        <v>297415</v>
      </c>
      <c r="F71" s="29">
        <f>VLOOKUP(B71,RAB!$B$8:$H$111,5,0)</f>
        <v>0</v>
      </c>
      <c r="G71" s="29">
        <f>VLOOKUP(B71,RAB!$B$8:$H$111,6,0)</f>
        <v>0</v>
      </c>
      <c r="H71" s="29">
        <f>VLOOKUP(B71,RAB!$B$8:$H$111,7,0)</f>
        <v>0</v>
      </c>
      <c r="I71" s="29">
        <f>VLOOKUP(B71,RAB!$B$8:$L$114,8,0)</f>
        <v>0</v>
      </c>
      <c r="J71" s="29">
        <f>VLOOKUP(B71,RAB!$B$8:$L$114,9,0)</f>
        <v>0</v>
      </c>
      <c r="K71" s="29">
        <f>VLOOKUP(B71,RAB!$B$8:$L$114,10,0)</f>
        <v>0</v>
      </c>
      <c r="L71" s="29">
        <f>VLOOKUP(B71,RAB!$B$8:$L$114,11,0)</f>
        <v>0</v>
      </c>
      <c r="M71" s="45">
        <f t="shared" si="1"/>
        <v>0</v>
      </c>
    </row>
    <row r="72" spans="2:13" ht="30" x14ac:dyDescent="0.25">
      <c r="B72" s="16" t="s">
        <v>153</v>
      </c>
      <c r="C72" s="38" t="s">
        <v>154</v>
      </c>
      <c r="D72" s="19" t="s">
        <v>22</v>
      </c>
      <c r="E72" s="39">
        <v>597931.5</v>
      </c>
      <c r="F72" s="29">
        <f>VLOOKUP(B72,RAB!$B$8:$H$111,5,0)</f>
        <v>0</v>
      </c>
      <c r="G72" s="29">
        <f>VLOOKUP(B72,RAB!$B$8:$H$111,6,0)</f>
        <v>0</v>
      </c>
      <c r="H72" s="29">
        <f>VLOOKUP(B72,RAB!$B$8:$H$111,7,0)</f>
        <v>0</v>
      </c>
      <c r="I72" s="29">
        <f>VLOOKUP(B72,RAB!$B$8:$L$114,8,0)</f>
        <v>0</v>
      </c>
      <c r="J72" s="29">
        <f>VLOOKUP(B72,RAB!$B$8:$L$114,9,0)</f>
        <v>0</v>
      </c>
      <c r="K72" s="29">
        <f>VLOOKUP(B72,RAB!$B$8:$L$114,10,0)</f>
        <v>0</v>
      </c>
      <c r="L72" s="29">
        <f>VLOOKUP(B72,RAB!$B$8:$L$114,11,0)</f>
        <v>0</v>
      </c>
      <c r="M72" s="45">
        <f t="shared" si="1"/>
        <v>0</v>
      </c>
    </row>
    <row r="73" spans="2:13" ht="30" x14ac:dyDescent="0.25">
      <c r="B73" s="16" t="s">
        <v>155</v>
      </c>
      <c r="C73" s="38" t="s">
        <v>156</v>
      </c>
      <c r="D73" s="19" t="s">
        <v>22</v>
      </c>
      <c r="E73" s="39">
        <v>1281959</v>
      </c>
      <c r="F73" s="29">
        <f>VLOOKUP(B73,RAB!$B$8:$H$111,5,0)</f>
        <v>0</v>
      </c>
      <c r="G73" s="29">
        <f>VLOOKUP(B73,RAB!$B$8:$H$111,6,0)</f>
        <v>0</v>
      </c>
      <c r="H73" s="29">
        <f>VLOOKUP(B73,RAB!$B$8:$H$111,7,0)</f>
        <v>0</v>
      </c>
      <c r="I73" s="29">
        <f>VLOOKUP(B73,RAB!$B$8:$L$114,8,0)</f>
        <v>0</v>
      </c>
      <c r="J73" s="29">
        <f>VLOOKUP(B73,RAB!$B$8:$L$114,9,0)</f>
        <v>0</v>
      </c>
      <c r="K73" s="29">
        <f>VLOOKUP(B73,RAB!$B$8:$L$114,10,0)</f>
        <v>0</v>
      </c>
      <c r="L73" s="29">
        <f>VLOOKUP(B73,RAB!$B$8:$L$114,11,0)</f>
        <v>0</v>
      </c>
      <c r="M73" s="45">
        <f t="shared" si="1"/>
        <v>0</v>
      </c>
    </row>
    <row r="74" spans="2:13" ht="15.75" x14ac:dyDescent="0.25">
      <c r="B74" s="16" t="s">
        <v>157</v>
      </c>
      <c r="C74" s="40" t="s">
        <v>158</v>
      </c>
      <c r="D74" s="17" t="s">
        <v>22</v>
      </c>
      <c r="E74" s="39">
        <v>740950.5</v>
      </c>
      <c r="F74" s="29">
        <f>VLOOKUP(B74,RAB!$B$8:$H$111,5,0)</f>
        <v>0</v>
      </c>
      <c r="G74" s="29">
        <f>VLOOKUP(B74,RAB!$B$8:$H$111,6,0)</f>
        <v>0</v>
      </c>
      <c r="H74" s="29">
        <f>VLOOKUP(B74,RAB!$B$8:$H$111,7,0)</f>
        <v>0</v>
      </c>
      <c r="I74" s="29">
        <f>VLOOKUP(B74,RAB!$B$8:$L$114,8,0)</f>
        <v>0</v>
      </c>
      <c r="J74" s="29">
        <f>VLOOKUP(B74,RAB!$B$8:$L$114,9,0)</f>
        <v>0</v>
      </c>
      <c r="K74" s="29">
        <f>VLOOKUP(B74,RAB!$B$8:$L$114,10,0)</f>
        <v>0</v>
      </c>
      <c r="L74" s="29">
        <f>VLOOKUP(B74,RAB!$B$8:$L$114,11,0)</f>
        <v>0</v>
      </c>
      <c r="M74" s="45">
        <f t="shared" si="1"/>
        <v>0</v>
      </c>
    </row>
    <row r="75" spans="2:13" ht="30" x14ac:dyDescent="0.25">
      <c r="B75" s="1" t="s">
        <v>159</v>
      </c>
      <c r="C75" s="41" t="s">
        <v>160</v>
      </c>
      <c r="D75" s="3" t="s">
        <v>161</v>
      </c>
      <c r="E75" s="35">
        <v>1500000</v>
      </c>
      <c r="F75" s="29">
        <f>VLOOKUP(B75,RAB!$B$8:$H$111,5,0)</f>
        <v>1</v>
      </c>
      <c r="G75" s="29">
        <f>VLOOKUP(B75,RAB!$B$8:$H$111,6,0)</f>
        <v>1</v>
      </c>
      <c r="H75" s="29">
        <f>VLOOKUP(B75,RAB!$B$8:$H$111,7,0)</f>
        <v>1</v>
      </c>
      <c r="I75" s="29">
        <f>VLOOKUP(B75,RAB!$B$8:$L$114,8,0)</f>
        <v>1</v>
      </c>
      <c r="J75" s="29">
        <f>VLOOKUP(B75,RAB!$B$8:$L$114,9,0)</f>
        <v>1</v>
      </c>
      <c r="K75" s="29">
        <f>VLOOKUP(B75,RAB!$B$8:$L$114,10,0)</f>
        <v>1</v>
      </c>
      <c r="L75" s="29">
        <f>VLOOKUP(B75,RAB!$B$8:$L$114,11,0)</f>
        <v>1</v>
      </c>
      <c r="M75" s="45">
        <f t="shared" si="1"/>
        <v>10500000</v>
      </c>
    </row>
    <row r="76" spans="2:13" ht="30" x14ac:dyDescent="0.25">
      <c r="B76" s="1" t="s">
        <v>162</v>
      </c>
      <c r="C76" s="41" t="s">
        <v>163</v>
      </c>
      <c r="D76" s="3" t="s">
        <v>161</v>
      </c>
      <c r="E76" s="35" t="s">
        <v>164</v>
      </c>
      <c r="F76" s="29">
        <f>VLOOKUP(B76,RAB!$B$8:$H$111,5,0)</f>
        <v>1</v>
      </c>
      <c r="G76" s="29">
        <f>VLOOKUP(B76,RAB!$B$8:$H$111,6,0)</f>
        <v>1</v>
      </c>
      <c r="H76" s="29">
        <f>VLOOKUP(B76,RAB!$B$8:$H$111,7,0)</f>
        <v>1</v>
      </c>
      <c r="I76" s="29">
        <f>VLOOKUP(B76,RAB!$B$8:$L$114,8,0)</f>
        <v>1</v>
      </c>
      <c r="J76" s="29">
        <f>VLOOKUP(B76,RAB!$B$8:$L$114,9,0)</f>
        <v>0</v>
      </c>
      <c r="K76" s="29">
        <f>VLOOKUP(B76,RAB!$B$8:$L$114,10,0)</f>
        <v>1</v>
      </c>
      <c r="L76" s="29">
        <f>VLOOKUP(B76,RAB!$B$8:$L$114,11,0)</f>
        <v>1</v>
      </c>
      <c r="M76" s="45"/>
    </row>
    <row r="77" spans="2:13" ht="15.75" x14ac:dyDescent="0.25">
      <c r="B77" s="12" t="s">
        <v>165</v>
      </c>
      <c r="C77" s="42" t="s">
        <v>166</v>
      </c>
      <c r="D77" s="14" t="s">
        <v>22</v>
      </c>
      <c r="E77" s="35">
        <v>15000</v>
      </c>
      <c r="F77" s="29">
        <f>VLOOKUP(B77,RAB!$B$8:$H$111,5,0)</f>
        <v>5</v>
      </c>
      <c r="G77" s="29">
        <f>VLOOKUP(B77,RAB!$B$8:$H$111,6,0)</f>
        <v>2</v>
      </c>
      <c r="H77" s="29">
        <f>VLOOKUP(B77,RAB!$B$8:$H$111,7,0)</f>
        <v>2</v>
      </c>
      <c r="I77" s="29">
        <f>VLOOKUP(B77,RAB!$B$8:$L$114,8,0)</f>
        <v>0</v>
      </c>
      <c r="J77" s="29">
        <f>VLOOKUP(B77,RAB!$B$8:$L$114,9,0)</f>
        <v>0</v>
      </c>
      <c r="K77" s="29">
        <f>VLOOKUP(B77,RAB!$B$8:$L$114,10,0)</f>
        <v>1</v>
      </c>
      <c r="L77" s="29">
        <f>VLOOKUP(B77,RAB!$B$8:$L$114,11,0)</f>
        <v>0</v>
      </c>
      <c r="M77" s="45">
        <f t="shared" si="1"/>
        <v>150000</v>
      </c>
    </row>
    <row r="78" spans="2:13" ht="30" x14ac:dyDescent="0.25">
      <c r="B78" s="12" t="s">
        <v>167</v>
      </c>
      <c r="C78" s="42" t="s">
        <v>168</v>
      </c>
      <c r="D78" s="13" t="s">
        <v>22</v>
      </c>
      <c r="E78" s="35">
        <v>20000</v>
      </c>
      <c r="F78" s="29">
        <f>VLOOKUP(B78,RAB!$B$8:$H$111,5,0)</f>
        <v>1</v>
      </c>
      <c r="G78" s="29">
        <f>VLOOKUP(B78,RAB!$B$8:$H$111,6,0)</f>
        <v>1</v>
      </c>
      <c r="H78" s="29">
        <f>VLOOKUP(B78,RAB!$B$8:$H$111,7,0)</f>
        <v>1</v>
      </c>
      <c r="I78" s="29">
        <f>VLOOKUP(B78,RAB!$B$8:$L$114,8,0)</f>
        <v>2</v>
      </c>
      <c r="J78" s="29">
        <f>VLOOKUP(B78,RAB!$B$8:$L$114,9,0)</f>
        <v>6</v>
      </c>
      <c r="K78" s="29">
        <f>VLOOKUP(B78,RAB!$B$8:$L$114,10,0)</f>
        <v>0</v>
      </c>
      <c r="L78" s="29">
        <f>VLOOKUP(B78,RAB!$B$8:$L$114,11,0)</f>
        <v>1</v>
      </c>
      <c r="M78" s="45">
        <f t="shared" si="1"/>
        <v>240000</v>
      </c>
    </row>
    <row r="79" spans="2:13" ht="30" x14ac:dyDescent="0.25">
      <c r="B79" s="1" t="s">
        <v>169</v>
      </c>
      <c r="C79" s="42" t="s">
        <v>170</v>
      </c>
      <c r="D79" s="13" t="s">
        <v>22</v>
      </c>
      <c r="E79" s="35">
        <v>10000</v>
      </c>
      <c r="F79" s="29">
        <f>VLOOKUP(B79,RAB!$B$8:$H$111,5,0)</f>
        <v>35</v>
      </c>
      <c r="G79" s="29">
        <f>VLOOKUP(B79,RAB!$B$8:$H$111,6,0)</f>
        <v>127</v>
      </c>
      <c r="H79" s="29">
        <f>VLOOKUP(B79,RAB!$B$8:$H$111,7,0)</f>
        <v>85</v>
      </c>
      <c r="I79" s="29">
        <f>VLOOKUP(B79,RAB!$B$8:$L$114,8,0)</f>
        <v>118</v>
      </c>
      <c r="J79" s="29">
        <f>VLOOKUP(B79,RAB!$B$8:$L$114,9,0)</f>
        <v>0</v>
      </c>
      <c r="K79" s="29">
        <f>VLOOKUP(B79,RAB!$B$8:$L$114,10,0)</f>
        <v>45</v>
      </c>
      <c r="L79" s="29">
        <f>VLOOKUP(B79,RAB!$B$8:$L$114,11,0)</f>
        <v>103</v>
      </c>
      <c r="M79" s="45">
        <f t="shared" si="1"/>
        <v>5130000</v>
      </c>
    </row>
    <row r="80" spans="2:13" ht="30" x14ac:dyDescent="0.25">
      <c r="B80" s="1" t="s">
        <v>171</v>
      </c>
      <c r="C80" s="41" t="s">
        <v>172</v>
      </c>
      <c r="D80" s="14" t="s">
        <v>22</v>
      </c>
      <c r="E80" s="35">
        <v>3500</v>
      </c>
      <c r="F80" s="29">
        <f>VLOOKUP(B80,RAB!$B$8:$H$111,5,0)</f>
        <v>0</v>
      </c>
      <c r="G80" s="29">
        <f>VLOOKUP(B80,RAB!$B$8:$H$111,6,0)</f>
        <v>0</v>
      </c>
      <c r="H80" s="29">
        <f>VLOOKUP(B80,RAB!$B$8:$H$111,7,0)</f>
        <v>0</v>
      </c>
      <c r="I80" s="29">
        <f>VLOOKUP(B80,RAB!$B$8:$L$114,8,0)</f>
        <v>0</v>
      </c>
      <c r="J80" s="29">
        <f>VLOOKUP(B80,RAB!$B$8:$L$114,9,0)</f>
        <v>0</v>
      </c>
      <c r="K80" s="29">
        <f>VLOOKUP(B80,RAB!$B$8:$L$114,10,0)</f>
        <v>0</v>
      </c>
      <c r="L80" s="29">
        <f>VLOOKUP(B80,RAB!$B$8:$L$114,11,0)</f>
        <v>0</v>
      </c>
      <c r="M80" s="45">
        <f t="shared" si="1"/>
        <v>0</v>
      </c>
    </row>
    <row r="81" spans="2:13" ht="30" x14ac:dyDescent="0.25">
      <c r="B81" s="1" t="s">
        <v>173</v>
      </c>
      <c r="C81" s="41" t="s">
        <v>174</v>
      </c>
      <c r="D81" s="14" t="s">
        <v>22</v>
      </c>
      <c r="E81" s="35">
        <v>26000</v>
      </c>
      <c r="F81" s="29">
        <f>VLOOKUP(B81,RAB!$B$8:$H$111,5,0)</f>
        <v>3</v>
      </c>
      <c r="G81" s="29">
        <f>VLOOKUP(B81,RAB!$B$8:$H$111,6,0)</f>
        <v>3</v>
      </c>
      <c r="H81" s="29">
        <f>VLOOKUP(B81,RAB!$B$8:$H$111,7,0)</f>
        <v>3</v>
      </c>
      <c r="I81" s="29">
        <f>VLOOKUP(B81,RAB!$B$8:$L$114,8,0)</f>
        <v>3</v>
      </c>
      <c r="J81" s="29">
        <f>VLOOKUP(B81,RAB!$B$8:$L$114,9,0)</f>
        <v>0</v>
      </c>
      <c r="K81" s="29">
        <f>VLOOKUP(B81,RAB!$B$8:$L$114,10,0)</f>
        <v>3</v>
      </c>
      <c r="L81" s="29">
        <f>VLOOKUP(B81,RAB!$B$8:$L$114,11,0)</f>
        <v>3</v>
      </c>
      <c r="M81" s="45">
        <f t="shared" si="1"/>
        <v>468000</v>
      </c>
    </row>
    <row r="82" spans="2:13" ht="30" x14ac:dyDescent="0.25">
      <c r="B82" s="12" t="s">
        <v>188</v>
      </c>
      <c r="C82" s="41" t="s">
        <v>189</v>
      </c>
      <c r="D82" s="14" t="s">
        <v>22</v>
      </c>
      <c r="E82" s="35">
        <v>360000</v>
      </c>
      <c r="F82" s="29">
        <f>VLOOKUP(B82,RAB!$B$8:$H$111,5,0)</f>
        <v>0</v>
      </c>
      <c r="G82" s="29">
        <f>VLOOKUP(B82,RAB!$B$8:$H$111,6,0)</f>
        <v>0</v>
      </c>
      <c r="H82" s="29">
        <f>VLOOKUP(B82,RAB!$B$8:$H$111,7,0)</f>
        <v>0</v>
      </c>
      <c r="I82" s="29">
        <f>VLOOKUP(B82,RAB!$B$8:$L$114,8,0)</f>
        <v>0</v>
      </c>
      <c r="J82" s="29">
        <f>VLOOKUP(B82,RAB!$B$8:$L$114,9,0)</f>
        <v>0</v>
      </c>
      <c r="K82" s="29">
        <f>VLOOKUP(B82,RAB!$B$8:$L$114,10,0)</f>
        <v>0</v>
      </c>
      <c r="L82" s="29">
        <f>VLOOKUP(B82,RAB!$B$8:$L$114,11,0)</f>
        <v>0</v>
      </c>
      <c r="M82" s="45">
        <f t="shared" si="1"/>
        <v>0</v>
      </c>
    </row>
    <row r="83" spans="2:13" ht="30" x14ac:dyDescent="0.25">
      <c r="B83" s="12" t="s">
        <v>190</v>
      </c>
      <c r="C83" s="41" t="s">
        <v>191</v>
      </c>
      <c r="D83" s="14" t="s">
        <v>22</v>
      </c>
      <c r="E83" s="35">
        <v>375000</v>
      </c>
      <c r="F83" s="29">
        <f>VLOOKUP(B83,RAB!$B$8:$H$111,5,0)</f>
        <v>0</v>
      </c>
      <c r="G83" s="29">
        <f>VLOOKUP(B83,RAB!$B$8:$H$111,6,0)</f>
        <v>0</v>
      </c>
      <c r="H83" s="29">
        <f>VLOOKUP(B83,RAB!$B$8:$H$111,7,0)</f>
        <v>0</v>
      </c>
      <c r="I83" s="29">
        <f>VLOOKUP(B83,RAB!$B$8:$L$114,8,0)</f>
        <v>0</v>
      </c>
      <c r="J83" s="29">
        <f>VLOOKUP(B83,RAB!$B$8:$L$114,9,0)</f>
        <v>0</v>
      </c>
      <c r="K83" s="29">
        <f>VLOOKUP(B83,RAB!$B$8:$L$114,10,0)</f>
        <v>0</v>
      </c>
      <c r="L83" s="29">
        <f>VLOOKUP(B83,RAB!$B$8:$L$114,11,0)</f>
        <v>0</v>
      </c>
      <c r="M83" s="45">
        <f t="shared" si="1"/>
        <v>0</v>
      </c>
    </row>
    <row r="84" spans="2:13" ht="15.75" x14ac:dyDescent="0.25">
      <c r="B84" s="12" t="s">
        <v>202</v>
      </c>
      <c r="C84" s="41" t="s">
        <v>203</v>
      </c>
      <c r="D84" s="14" t="s">
        <v>204</v>
      </c>
      <c r="E84" s="35">
        <v>2500</v>
      </c>
      <c r="F84" s="29">
        <f>VLOOKUP(B84,RAB!$B$8:$H$111,5,0)</f>
        <v>0</v>
      </c>
      <c r="G84" s="29">
        <f>VLOOKUP(B84,RAB!$B$8:$H$111,6,0)</f>
        <v>0</v>
      </c>
      <c r="H84" s="29">
        <f>VLOOKUP(B84,RAB!$B$8:$H$111,7,0)</f>
        <v>0</v>
      </c>
      <c r="I84" s="29">
        <f>VLOOKUP(B84,RAB!$B$8:$L$114,8,0)</f>
        <v>0</v>
      </c>
      <c r="J84" s="29">
        <f>VLOOKUP(B84,RAB!$B$8:$L$114,9,0)</f>
        <v>0</v>
      </c>
      <c r="K84" s="29">
        <f>VLOOKUP(B84,RAB!$B$8:$L$114,10,0)</f>
        <v>0</v>
      </c>
      <c r="L84" s="29">
        <f>VLOOKUP(B84,RAB!$B$8:$L$114,11,0)</f>
        <v>0</v>
      </c>
      <c r="M84" s="45">
        <f t="shared" si="1"/>
        <v>0</v>
      </c>
    </row>
    <row r="85" spans="2:13" ht="30" x14ac:dyDescent="0.25">
      <c r="B85" s="12" t="s">
        <v>209</v>
      </c>
      <c r="C85" s="41" t="s">
        <v>210</v>
      </c>
      <c r="D85" s="14" t="s">
        <v>211</v>
      </c>
      <c r="E85" s="35">
        <v>20000</v>
      </c>
      <c r="F85" s="29">
        <f>VLOOKUP(B85,RAB!$B$8:$H$111,5,0)</f>
        <v>0</v>
      </c>
      <c r="G85" s="29">
        <f>VLOOKUP(B85,RAB!$B$8:$H$111,6,0)</f>
        <v>0</v>
      </c>
      <c r="H85" s="29">
        <f>VLOOKUP(B85,RAB!$B$8:$H$111,7,0)</f>
        <v>0</v>
      </c>
      <c r="I85" s="29">
        <f>VLOOKUP(B85,RAB!$B$8:$L$114,8,0)</f>
        <v>0</v>
      </c>
      <c r="J85" s="29">
        <f>VLOOKUP(B85,RAB!$B$8:$L$114,9,0)</f>
        <v>0</v>
      </c>
      <c r="K85" s="29">
        <f>VLOOKUP(B85,RAB!$B$8:$L$114,10,0)</f>
        <v>0</v>
      </c>
      <c r="L85" s="29">
        <f>VLOOKUP(B85,RAB!$B$8:$L$114,11,0)</f>
        <v>0</v>
      </c>
      <c r="M85" s="45">
        <f t="shared" si="1"/>
        <v>0</v>
      </c>
    </row>
    <row r="86" spans="2:13" ht="30" x14ac:dyDescent="0.25">
      <c r="B86" s="12" t="s">
        <v>212</v>
      </c>
      <c r="C86" s="41" t="s">
        <v>213</v>
      </c>
      <c r="D86" s="14" t="s">
        <v>211</v>
      </c>
      <c r="E86" s="35">
        <v>40000</v>
      </c>
      <c r="F86" s="29">
        <f>VLOOKUP(B86,RAB!$B$8:$H$111,5,0)</f>
        <v>0</v>
      </c>
      <c r="G86" s="29">
        <f>VLOOKUP(B86,RAB!$B$8:$H$111,6,0)</f>
        <v>0</v>
      </c>
      <c r="H86" s="29">
        <f>VLOOKUP(B86,RAB!$B$8:$H$111,7,0)</f>
        <v>0</v>
      </c>
      <c r="I86" s="29">
        <f>VLOOKUP(B86,RAB!$B$8:$L$114,8,0)</f>
        <v>0</v>
      </c>
      <c r="J86" s="29">
        <f>VLOOKUP(B86,RAB!$B$8:$L$114,9,0)</f>
        <v>0</v>
      </c>
      <c r="K86" s="29">
        <f>VLOOKUP(B86,RAB!$B$8:$L$114,10,0)</f>
        <v>0</v>
      </c>
      <c r="L86" s="29">
        <f>VLOOKUP(B86,RAB!$B$8:$L$114,11,0)</f>
        <v>0</v>
      </c>
      <c r="M86" s="45">
        <f t="shared" si="1"/>
        <v>0</v>
      </c>
    </row>
    <row r="87" spans="2:13" ht="30" x14ac:dyDescent="0.25">
      <c r="B87" s="12" t="s">
        <v>214</v>
      </c>
      <c r="C87" s="41" t="s">
        <v>215</v>
      </c>
      <c r="D87" s="14" t="s">
        <v>211</v>
      </c>
      <c r="E87" s="35">
        <v>80000</v>
      </c>
      <c r="F87" s="29">
        <f>VLOOKUP(B87,RAB!$B$8:$H$111,5,0)</f>
        <v>0</v>
      </c>
      <c r="G87" s="29">
        <f>VLOOKUP(B87,RAB!$B$8:$H$111,6,0)</f>
        <v>0</v>
      </c>
      <c r="H87" s="29">
        <f>VLOOKUP(B87,RAB!$B$8:$H$111,7,0)</f>
        <v>0</v>
      </c>
      <c r="I87" s="29">
        <f>VLOOKUP(B87,RAB!$B$8:$L$114,8,0)</f>
        <v>0</v>
      </c>
      <c r="J87" s="29">
        <f>VLOOKUP(B87,RAB!$B$8:$L$114,9,0)</f>
        <v>0</v>
      </c>
      <c r="K87" s="29">
        <f>VLOOKUP(B87,RAB!$B$8:$L$114,10,0)</f>
        <v>0</v>
      </c>
      <c r="L87" s="29">
        <f>VLOOKUP(B87,RAB!$B$8:$L$114,11,0)</f>
        <v>0</v>
      </c>
      <c r="M87" s="45">
        <f t="shared" si="1"/>
        <v>0</v>
      </c>
    </row>
    <row r="88" spans="2:13" ht="30" x14ac:dyDescent="0.25">
      <c r="B88" s="12" t="s">
        <v>216</v>
      </c>
      <c r="C88" s="41" t="s">
        <v>217</v>
      </c>
      <c r="D88" s="14" t="s">
        <v>211</v>
      </c>
      <c r="E88" s="35">
        <v>150000</v>
      </c>
      <c r="F88" s="29">
        <f>VLOOKUP(B88,RAB!$B$8:$H$111,5,0)</f>
        <v>0</v>
      </c>
      <c r="G88" s="29">
        <f>VLOOKUP(B88,RAB!$B$8:$H$111,6,0)</f>
        <v>0</v>
      </c>
      <c r="H88" s="29">
        <f>VLOOKUP(B88,RAB!$B$8:$H$111,7,0)</f>
        <v>0</v>
      </c>
      <c r="I88" s="29">
        <f>VLOOKUP(B88,RAB!$B$8:$L$114,8,0)</f>
        <v>0</v>
      </c>
      <c r="J88" s="29">
        <f>VLOOKUP(B88,RAB!$B$8:$L$114,9,0)</f>
        <v>0</v>
      </c>
      <c r="K88" s="29">
        <f>VLOOKUP(B88,RAB!$B$8:$L$114,10,0)</f>
        <v>0</v>
      </c>
      <c r="L88" s="29">
        <f>VLOOKUP(B88,RAB!$B$8:$L$114,11,0)</f>
        <v>0</v>
      </c>
      <c r="M88" s="45">
        <f t="shared" si="1"/>
        <v>0</v>
      </c>
    </row>
    <row r="89" spans="2:13" ht="30" x14ac:dyDescent="0.25">
      <c r="B89" s="12" t="s">
        <v>218</v>
      </c>
      <c r="C89" s="41" t="s">
        <v>219</v>
      </c>
      <c r="D89" s="14" t="s">
        <v>220</v>
      </c>
      <c r="E89" s="35">
        <v>7500</v>
      </c>
      <c r="F89" s="29">
        <f>VLOOKUP(B89,RAB!$B$8:$H$111,5,0)</f>
        <v>512</v>
      </c>
      <c r="G89" s="29">
        <f>VLOOKUP(B89,RAB!$B$8:$H$111,6,0)</f>
        <v>1936</v>
      </c>
      <c r="H89" s="29">
        <f>VLOOKUP(B89,RAB!$B$8:$H$111,7,0)</f>
        <v>1280</v>
      </c>
      <c r="I89" s="29">
        <f>VLOOKUP(B89,RAB!$B$8:$L$114,8,0)</f>
        <v>1792</v>
      </c>
      <c r="J89" s="29">
        <f>VLOOKUP(B89,RAB!$B$8:$L$114,9,0)</f>
        <v>0</v>
      </c>
      <c r="K89" s="29">
        <f>VLOOKUP(B89,RAB!$B$8:$L$114,10,0)</f>
        <v>640</v>
      </c>
      <c r="L89" s="29">
        <f>VLOOKUP(B89,RAB!$B$8:$L$114,11,0)</f>
        <v>1584</v>
      </c>
      <c r="M89" s="45">
        <f t="shared" si="1"/>
        <v>58080000</v>
      </c>
    </row>
    <row r="90" spans="2:13" ht="30" x14ac:dyDescent="0.25">
      <c r="B90" s="12" t="s">
        <v>221</v>
      </c>
      <c r="C90" s="41" t="s">
        <v>222</v>
      </c>
      <c r="D90" s="14" t="s">
        <v>220</v>
      </c>
      <c r="E90" s="35">
        <v>2500</v>
      </c>
      <c r="F90" s="29"/>
      <c r="G90" s="29"/>
      <c r="H90" s="29"/>
      <c r="I90" s="29">
        <f>VLOOKUP(B90,RAB!$B$8:$L$114,8,0)</f>
        <v>1792</v>
      </c>
      <c r="J90" s="29">
        <f>VLOOKUP(B90,RAB!$B$8:$L$114,9,0)</f>
        <v>0</v>
      </c>
      <c r="K90" s="29">
        <f>VLOOKUP(B90,RAB!$B$8:$L$114,10,0)</f>
        <v>640</v>
      </c>
      <c r="L90" s="29">
        <f>VLOOKUP(B90,RAB!$B$8:$L$114,11,0)</f>
        <v>1584</v>
      </c>
      <c r="M90" s="45">
        <f t="shared" si="1"/>
        <v>10040000</v>
      </c>
    </row>
    <row r="91" spans="2:13" ht="60" x14ac:dyDescent="0.25">
      <c r="B91" s="1" t="s">
        <v>223</v>
      </c>
      <c r="C91" s="43" t="s">
        <v>224</v>
      </c>
      <c r="D91" s="14" t="s">
        <v>9</v>
      </c>
      <c r="E91" s="35">
        <v>750</v>
      </c>
      <c r="F91" s="29"/>
      <c r="G91" s="29"/>
      <c r="H91" s="29"/>
      <c r="I91" s="29">
        <f>VLOOKUP(B91,RAB!$B$8:$L$114,8,0)</f>
        <v>0</v>
      </c>
      <c r="J91" s="29">
        <f>VLOOKUP(B91,RAB!$B$8:$L$114,9,0)</f>
        <v>0</v>
      </c>
      <c r="K91" s="29">
        <f>VLOOKUP(B91,RAB!$B$8:$L$114,10,0)</f>
        <v>0</v>
      </c>
      <c r="L91" s="29">
        <f>VLOOKUP(B91,RAB!$B$8:$L$114,11,0)</f>
        <v>0</v>
      </c>
      <c r="M91" s="45">
        <f t="shared" si="1"/>
        <v>0</v>
      </c>
    </row>
    <row r="92" spans="2:13" ht="15.75" x14ac:dyDescent="0.25">
      <c r="B92" s="72" t="s">
        <v>227</v>
      </c>
      <c r="C92" s="72"/>
      <c r="D92" s="72"/>
      <c r="E92" s="72"/>
      <c r="F92" s="46">
        <f>SUMPRODUCT($E$5:$E$91,F5:F91)</f>
        <v>111575730</v>
      </c>
      <c r="G92" s="46">
        <f t="shared" ref="G92:L92" si="2">SUMPRODUCT($E$5:$E$91,G5:G91)</f>
        <v>145245730</v>
      </c>
      <c r="H92" s="46">
        <f t="shared" si="2"/>
        <v>127995230</v>
      </c>
      <c r="I92" s="46">
        <f t="shared" si="2"/>
        <v>137912960</v>
      </c>
      <c r="J92" s="46">
        <f t="shared" si="2"/>
        <v>382881580</v>
      </c>
      <c r="K92" s="46">
        <f t="shared" si="2"/>
        <v>43947584.5</v>
      </c>
      <c r="L92" s="46">
        <f t="shared" si="2"/>
        <v>68001230</v>
      </c>
      <c r="M92" s="47">
        <f>SUM(M5:M91)</f>
        <v>1017560044.5</v>
      </c>
    </row>
  </sheetData>
  <autoFilter ref="B4:M92" xr:uid="{541DA72E-39BF-4527-8005-A06338C3C9EE}"/>
  <mergeCells count="13">
    <mergeCell ref="G2:G3"/>
    <mergeCell ref="H2:H3"/>
    <mergeCell ref="M2:M3"/>
    <mergeCell ref="B92:E92"/>
    <mergeCell ref="B2:B3"/>
    <mergeCell ref="C2:C3"/>
    <mergeCell ref="D2:D3"/>
    <mergeCell ref="E2:E3"/>
    <mergeCell ref="F2:F3"/>
    <mergeCell ref="I2:I3"/>
    <mergeCell ref="J2:J3"/>
    <mergeCell ref="K2:K3"/>
    <mergeCell ref="L2:L3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RAB</vt:lpstr>
      <vt:lpstr>REKAP </vt:lpstr>
      <vt:lpstr>MANDOR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SETCO</dc:creator>
  <cp:lastModifiedBy>SETCO</cp:lastModifiedBy>
  <dcterms:created xsi:type="dcterms:W3CDTF">2025-11-28T03:27:12Z</dcterms:created>
  <dcterms:modified xsi:type="dcterms:W3CDTF">2025-12-06T04:29:10Z</dcterms:modified>
</cp:coreProperties>
</file>